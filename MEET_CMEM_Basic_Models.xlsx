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CMEM-Basic_Light" sheetId="2" r:id="rId1"/>
    <sheet name="MEET-Basic_Light" sheetId="3" r:id="rId2"/>
  </sheets>
  <definedNames>
    <definedName name="air_density" localSheetId="0">'CMEM-Basic_Light'!$D$14</definedName>
    <definedName name="alfa" localSheetId="0">'CMEM-Basic_Light'!$D$19</definedName>
    <definedName name="arcs" localSheetId="0">'CMEM-Basic_Light'!$X$3:$Y$242</definedName>
    <definedName name="arcs" localSheetId="1">'MEET-Basic_Light'!$AF$3:$AG$242</definedName>
    <definedName name="arcs.dirn" localSheetId="0" hidden="1">"row"</definedName>
    <definedName name="arcs.dirn" localSheetId="1" hidden="1">"row"</definedName>
    <definedName name="area" localSheetId="0">'CMEM-Basic_Light'!$D$15</definedName>
    <definedName name="beta" localSheetId="0">'CMEM-Basic_Light'!$D$16</definedName>
    <definedName name="constant" localSheetId="0">'CMEM-Basic_Light'!$D$17</definedName>
    <definedName name="conversion_factor" localSheetId="0">'CMEM-Basic_Light'!$D$4</definedName>
    <definedName name="curb_weight" localSheetId="0">'CMEM-Basic_Light'!$D$20</definedName>
    <definedName name="customers" localSheetId="0">'CMEM-Basic_Light'!$G$3:$U$3</definedName>
    <definedName name="customers" localSheetId="1">'MEET-Basic_Light'!$O$3:$AC$3</definedName>
    <definedName name="customers.dirn" localSheetId="0" hidden="1">"column"</definedName>
    <definedName name="customers.dirn" localSheetId="1" hidden="1">"column"</definedName>
    <definedName name="d" localSheetId="0">'CMEM-Basic_Light'!$Z$3:$Z$242</definedName>
    <definedName name="d" localSheetId="1">'MEET-Basic_Light'!$AH$3:$AH$242</definedName>
    <definedName name="d.badindex" localSheetId="0" hidden="1">1</definedName>
    <definedName name="d.badindex" localSheetId="1" hidden="1">1</definedName>
    <definedName name="d.rowindex" localSheetId="0" hidden="1">'CMEM-Basic_Light'!arcs</definedName>
    <definedName name="d.rowindex" localSheetId="1" hidden="1">'MEET-Basic_Light'!arcs</definedName>
    <definedName name="d.rowindex.dirn" localSheetId="0" hidden="1">"row"</definedName>
    <definedName name="d.rowindex.dirn" localSheetId="1" hidden="1">"row"</definedName>
    <definedName name="demand" localSheetId="0">'CMEM-Basic_Light'!$G$6:$U$6</definedName>
    <definedName name="demand" localSheetId="1">'MEET-Basic_Light'!$O$7:$AC$7</definedName>
    <definedName name="demand.badindex" localSheetId="0" hidden="1">1</definedName>
    <definedName name="demand.badindex" localSheetId="1" hidden="1">1</definedName>
    <definedName name="demand.columnindex" localSheetId="0" hidden="1">'CMEM-Basic_Light'!customers</definedName>
    <definedName name="demand.columnindex" localSheetId="1" hidden="1">'MEET-Basic_Light'!customers</definedName>
    <definedName name="demand.columnindex.dirn" localSheetId="0" hidden="1">"column"</definedName>
    <definedName name="demand.columnindex.dirn" localSheetId="1" hidden="1">"column"</definedName>
    <definedName name="depot" localSheetId="0">'CMEM-Basic_Light'!$G$2</definedName>
    <definedName name="depot" localSheetId="1">'MEET-Basic_Light'!$O$2</definedName>
    <definedName name="displacement" localSheetId="0">'CMEM-Basic_Light'!$D$8</definedName>
    <definedName name="drag" localSheetId="0">'CMEM-Basic_Light'!$D$13</definedName>
    <definedName name="efficiency_parameter" localSheetId="0">'CMEM-Basic_Light'!$D$11</definedName>
    <definedName name="emission" localSheetId="1">'MEET-Basic_Light'!$L$12</definedName>
    <definedName name="engine_speed" localSheetId="0">'CMEM-Basic_Light'!$D$7</definedName>
    <definedName name="friction_factor" localSheetId="0">'CMEM-Basic_Light'!$D$6</definedName>
    <definedName name="fuel_consumption" localSheetId="0">'CMEM-Basic_Light'!$G$11</definedName>
    <definedName name="heating_value" localSheetId="0">'CMEM-Basic_Light'!$D$3</definedName>
    <definedName name="lamda" localSheetId="0">'CMEM-Basic_Light'!$D$5</definedName>
    <definedName name="mass_ratio" localSheetId="0">'CMEM-Basic_Light'!$D$2</definedName>
    <definedName name="nodes" localSheetId="0">'CMEM-Basic_Light'!$G$4:$V$4</definedName>
    <definedName name="nodes" localSheetId="1">'MEET-Basic_Light'!$O$4:$AD$4</definedName>
    <definedName name="nodes.dirn" localSheetId="0" hidden="1">"column"</definedName>
    <definedName name="nodes.dirn" localSheetId="1" hidden="1">"column"</definedName>
    <definedName name="resistance" localSheetId="0">'CMEM-Basic_Light'!$D$18</definedName>
    <definedName name="speed" localSheetId="0">'CMEM-Basic_Light'!$D$9</definedName>
    <definedName name="total_emission" localSheetId="1">'MEET-Basic_Light'!$O$13</definedName>
    <definedName name="train_efficiency" localSheetId="0">'CMEM-Basic_Light'!$D$10</definedName>
    <definedName name="vehicle_capacity" localSheetId="0">'CMEM-Basic_Light'!$G$8</definedName>
    <definedName name="vehicle_capacity" localSheetId="1">'MEET-Basic_Light'!$O$9</definedName>
    <definedName name="vehicle_number" localSheetId="0">'CMEM-Basic_Light'!$G$9</definedName>
    <definedName name="vehicle_number" localSheetId="1">'MEET-Basic_Light'!$O$10</definedName>
    <definedName name="X" localSheetId="0">'CMEM-Basic_Light'!$AA$3:$AA$242</definedName>
    <definedName name="X" localSheetId="1">'MEET-Basic_Light'!$AI$3:$AI$242</definedName>
    <definedName name="X.badindex" localSheetId="0" hidden="1">1</definedName>
    <definedName name="X.badindex" localSheetId="1" hidden="1">1</definedName>
    <definedName name="X.rowindex" localSheetId="0" hidden="1">'CMEM-Basic_Light'!arcs</definedName>
    <definedName name="X.rowindex" localSheetId="1" hidden="1">'MEET-Basic_Light'!arcs</definedName>
    <definedName name="X.rowindex.dirn" localSheetId="0" hidden="1">"row"</definedName>
    <definedName name="X.rowindex.dirn" localSheetId="1" hidden="1">"row"</definedName>
    <definedName name="Y" localSheetId="0">'CMEM-Basic_Light'!$AB$3:$AB$242</definedName>
    <definedName name="Y" localSheetId="1">'MEET-Basic_Light'!$AJ$3:$AJ$242</definedName>
    <definedName name="Y.badindex" localSheetId="0" hidden="1">1</definedName>
    <definedName name="Y.badindex" localSheetId="1" hidden="1">1</definedName>
    <definedName name="Y.rowindex" localSheetId="0" hidden="1">'CMEM-Basic_Light'!arcs</definedName>
    <definedName name="Y.rowindex" localSheetId="1" hidden="1">'MEET-Basic_Light'!arcs</definedName>
    <definedName name="Y.rowindex.dirn" localSheetId="0" hidden="1">"row"</definedName>
    <definedName name="Y.rowindex.dirn" localSheetId="1" hidden="1">"row"</definedName>
    <definedName name="ye" localSheetId="0">'CMEM-Basic_Light'!$D$12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" i="3" l="1"/>
  <c r="O15" i="3" s="1"/>
  <c r="I12" i="3"/>
  <c r="C12" i="3"/>
  <c r="L12" i="3" s="1"/>
  <c r="Q10" i="3"/>
  <c r="AD7" i="3"/>
  <c r="D19" i="2"/>
  <c r="D16" i="2"/>
  <c r="D12" i="2"/>
  <c r="J9" i="2"/>
  <c r="D9" i="2"/>
  <c r="V6" i="2"/>
  <c r="D5" i="2"/>
</calcChain>
</file>

<file path=xl/sharedStrings.xml><?xml version="1.0" encoding="utf-8"?>
<sst xmlns="http://schemas.openxmlformats.org/spreadsheetml/2006/main" count="1113" uniqueCount="91">
  <si>
    <t>ᵹ</t>
  </si>
  <si>
    <t>Fuel-to-air mass ratio</t>
  </si>
  <si>
    <t>Depot</t>
  </si>
  <si>
    <t>D</t>
  </si>
  <si>
    <t>i</t>
  </si>
  <si>
    <t>j</t>
  </si>
  <si>
    <t>dij (meter)</t>
  </si>
  <si>
    <t>xij</t>
  </si>
  <si>
    <t>yij</t>
  </si>
  <si>
    <t>ĸ</t>
  </si>
  <si>
    <t>Heating value of a typical diesel fuel (kilojoule/gram)</t>
  </si>
  <si>
    <t>Customers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</si>
  <si>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</si>
  <si>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</si>
  <si>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</si>
  <si>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</si>
  <si>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</si>
  <si>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</si>
  <si>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</si>
  <si>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</si>
  <si>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</si>
  <si>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</si>
  <si>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</si>
  <si>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</si>
  <si>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</si>
  <si>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</si>
  <si>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</si>
  <si>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ψ</t>
  </si>
  <si>
    <t>Conversion Factor (gram to liter)</t>
  </si>
  <si>
    <t>Nodes</t>
  </si>
  <si>
    <t>λ</t>
  </si>
  <si>
    <t>ᵹ / ĸ ψ</t>
  </si>
  <si>
    <t>Total</t>
  </si>
  <si>
    <t>k</t>
  </si>
  <si>
    <t>Engine Friction Factor (kilojoule/rev/liter)</t>
  </si>
  <si>
    <t>Demand</t>
  </si>
  <si>
    <t>N</t>
  </si>
  <si>
    <t>Engine Speed (rev/second)</t>
  </si>
  <si>
    <t>V</t>
  </si>
  <si>
    <t>Engine displacement (liters)</t>
  </si>
  <si>
    <t>Vehicle capacity</t>
  </si>
  <si>
    <t>𝑣</t>
  </si>
  <si>
    <t>Average vehicle speed  (meter/second)</t>
  </si>
  <si>
    <t>Vehicle number</t>
  </si>
  <si>
    <t>ntf</t>
  </si>
  <si>
    <t>Vehicle Drive Train Efficiency</t>
  </si>
  <si>
    <t>n</t>
  </si>
  <si>
    <t>Efficiency parameter for diesel engines</t>
  </si>
  <si>
    <t>Fuel consumption (lt)</t>
  </si>
  <si>
    <t>γ</t>
  </si>
  <si>
    <t>1 / 1000 ntf n</t>
  </si>
  <si>
    <t>Cd</t>
  </si>
  <si>
    <t>Coeffficient of aerodynamic drag</t>
  </si>
  <si>
    <t>p</t>
  </si>
  <si>
    <t>Air density (kg/m3)</t>
  </si>
  <si>
    <t>A</t>
  </si>
  <si>
    <t>Frontal surface area  (m2)</t>
  </si>
  <si>
    <t>β</t>
  </si>
  <si>
    <t>g</t>
  </si>
  <si>
    <t>Gravitational constant (meter/second2)</t>
  </si>
  <si>
    <t>Cr</t>
  </si>
  <si>
    <t>Coefficient of rolling resistance</t>
  </si>
  <si>
    <t>α</t>
  </si>
  <si>
    <r>
      <t>g sin</t>
    </r>
    <r>
      <rPr>
        <sz val="11"/>
        <color theme="1"/>
        <rFont val="Calibri"/>
        <family val="2"/>
        <charset val="162"/>
      </rPr>
      <t>Φ + g Cr cosΦ</t>
    </r>
  </si>
  <si>
    <t>w</t>
  </si>
  <si>
    <t>Curb weight (kg)</t>
  </si>
  <si>
    <t>K</t>
  </si>
  <si>
    <t>ɵ</t>
  </si>
  <si>
    <t>dij (km)</t>
  </si>
  <si>
    <t>a</t>
  </si>
  <si>
    <t>b</t>
  </si>
  <si>
    <t>c</t>
  </si>
  <si>
    <t>q</t>
  </si>
  <si>
    <t>d</t>
  </si>
  <si>
    <t>r</t>
  </si>
  <si>
    <t>e</t>
  </si>
  <si>
    <t>s</t>
  </si>
  <si>
    <t>f</t>
  </si>
  <si>
    <t>t</t>
  </si>
  <si>
    <t>u</t>
  </si>
  <si>
    <t>v (km/h)</t>
  </si>
  <si>
    <t>er(v)</t>
  </si>
  <si>
    <t>LC(v)</t>
  </si>
  <si>
    <t>er(v)*LC(v)</t>
  </si>
  <si>
    <t>Total CO2 emission (gram)</t>
  </si>
  <si>
    <t>Total CO2 emission (kg)</t>
  </si>
  <si>
    <t>Fuel consumption (liter)</t>
  </si>
  <si>
    <t>1L=2,757 kg CO2
Heni et al. (2023)</t>
  </si>
  <si>
    <r>
      <t xml:space="preserve">0,5 Cd </t>
    </r>
    <r>
      <rPr>
        <i/>
        <sz val="11"/>
        <color theme="1"/>
        <rFont val="Calibri"/>
        <family val="2"/>
        <charset val="162"/>
        <scheme val="minor"/>
      </rPr>
      <t>p</t>
    </r>
    <r>
      <rPr>
        <sz val="11"/>
        <color theme="1"/>
        <rFont val="Calibri"/>
        <family val="2"/>
        <charset val="162"/>
        <scheme val="minor"/>
      </rPr>
      <t>A</t>
    </r>
  </si>
  <si>
    <t>Total demand</t>
  </si>
  <si>
    <t>Total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</si>
</sst>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i/>
      <sz val="11"/>
      <color theme="1"/>
      <name val="Calibri"/>
      <family val="2"/>
      <charset val="162"/>
      <scheme val="minor"/>
    </font>
    <font>
      <b/>
      <sz val="11"/>
      <color theme="1"/>
      <name val="Arial Tur"/>
      <charset val="162"/>
    </font>
    <font>
      <sz val="11"/>
      <color rgb="FF00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Fill="1" applyBorder="1"/>
    <xf numFmtId="3" fontId="0" fillId="0" borderId="1" xfId="0" applyNumberFormat="1" applyBorder="1"/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/>
    <xf numFmtId="0" fontId="0" fillId="0" borderId="1" xfId="0" applyBorder="1"/>
    <xf numFmtId="3" fontId="0" fillId="0" borderId="0" xfId="0" applyNumberFormat="1" applyAlignment="1">
      <alignment horizontal="center" vertical="center"/>
    </xf>
    <xf numFmtId="0" fontId="3" fillId="0" borderId="1" xfId="0" applyFont="1" applyFill="1" applyBorder="1" applyAlignment="1"/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245"/>
  <sheetViews>
    <sheetView workbookViewId="0">
      <selection activeCell="F22" sqref="F22"/>
    </sheetView>
  </sheetViews>
  <sheetFormatPr defaultRowHeight="14.25" x14ac:dyDescent="0.45"/>
  <cols>
    <col min="3" max="3" width="42.796875" bestFit="1" customWidth="1"/>
    <col min="4" max="4" width="12.33203125" customWidth="1"/>
    <col min="6" max="6" width="18.265625" bestFit="1" customWidth="1"/>
    <col min="7" max="17" width="6.796875" style="4" customWidth="1"/>
    <col min="18" max="22" width="6.796875" customWidth="1"/>
    <col min="24" max="28" width="9.06640625" style="4"/>
    <col min="29" max="29" width="19.73046875" customWidth="1"/>
  </cols>
  <sheetData>
    <row r="2" spans="2:28" x14ac:dyDescent="0.45">
      <c r="B2" s="1" t="s">
        <v>0</v>
      </c>
      <c r="C2" s="25" t="s">
        <v>1</v>
      </c>
      <c r="D2" s="26">
        <v>1</v>
      </c>
      <c r="F2" s="3" t="s">
        <v>2</v>
      </c>
      <c r="G2" s="2" t="s">
        <v>3</v>
      </c>
      <c r="X2" s="5" t="s">
        <v>4</v>
      </c>
      <c r="Y2" s="5" t="s">
        <v>5</v>
      </c>
      <c r="Z2" s="5" t="s">
        <v>6</v>
      </c>
      <c r="AA2" s="5" t="s">
        <v>7</v>
      </c>
      <c r="AB2" s="5" t="s">
        <v>8</v>
      </c>
    </row>
    <row r="3" spans="2:28" x14ac:dyDescent="0.45">
      <c r="B3" s="1" t="s">
        <v>9</v>
      </c>
      <c r="C3" s="25" t="s">
        <v>10</v>
      </c>
      <c r="D3" s="26">
        <v>44</v>
      </c>
      <c r="F3" s="3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2" t="s">
        <v>21</v>
      </c>
      <c r="Q3" s="2" t="s">
        <v>22</v>
      </c>
      <c r="R3" s="2" t="s">
        <v>23</v>
      </c>
      <c r="S3" s="2" t="s">
        <v>24</v>
      </c>
      <c r="T3" s="2" t="s">
        <v>25</v>
      </c>
      <c r="U3" s="2" t="s">
        <v>26</v>
      </c>
      <c r="X3" s="2" t="s">
        <v>3</v>
      </c>
      <c r="Y3" s="2" t="s">
        <v>12</v>
      </c>
      <c r="Z3" s="6">
        <v>40400</v>
      </c>
      <c r="AA3" s="7">
        <v>1</v>
      </c>
      <c r="AB3" s="7">
        <v>2900</v>
      </c>
    </row>
    <row r="4" spans="2:28" x14ac:dyDescent="0.45">
      <c r="B4" s="1" t="s">
        <v>27</v>
      </c>
      <c r="C4" s="25" t="s">
        <v>28</v>
      </c>
      <c r="D4" s="26">
        <v>737</v>
      </c>
      <c r="F4" s="3" t="s">
        <v>29</v>
      </c>
      <c r="G4" s="2" t="s">
        <v>3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2" t="s">
        <v>19</v>
      </c>
      <c r="P4" s="2" t="s">
        <v>20</v>
      </c>
      <c r="Q4" s="2" t="s">
        <v>21</v>
      </c>
      <c r="R4" s="2" t="s">
        <v>22</v>
      </c>
      <c r="S4" s="2" t="s">
        <v>23</v>
      </c>
      <c r="T4" s="2" t="s">
        <v>24</v>
      </c>
      <c r="U4" s="2" t="s">
        <v>25</v>
      </c>
      <c r="V4" s="2" t="s">
        <v>26</v>
      </c>
      <c r="X4" s="2" t="s">
        <v>3</v>
      </c>
      <c r="Y4" s="2" t="s">
        <v>13</v>
      </c>
      <c r="Z4" s="6">
        <v>62200</v>
      </c>
      <c r="AA4" s="7">
        <v>0</v>
      </c>
      <c r="AB4" s="7">
        <v>0</v>
      </c>
    </row>
    <row r="5" spans="2:28" x14ac:dyDescent="0.45">
      <c r="B5" s="1" t="s">
        <v>30</v>
      </c>
      <c r="C5" s="8" t="s">
        <v>31</v>
      </c>
      <c r="D5" s="27">
        <f>D2/(D3*D4)</f>
        <v>3.0837547798199085E-5</v>
      </c>
      <c r="V5" s="9" t="s">
        <v>32</v>
      </c>
      <c r="X5" s="2" t="s">
        <v>3</v>
      </c>
      <c r="Y5" s="2" t="s">
        <v>14</v>
      </c>
      <c r="Z5" s="6">
        <v>58000</v>
      </c>
      <c r="AA5" s="7">
        <v>1</v>
      </c>
      <c r="AB5" s="7">
        <v>2800</v>
      </c>
    </row>
    <row r="6" spans="2:28" x14ac:dyDescent="0.45">
      <c r="B6" s="26" t="s">
        <v>33</v>
      </c>
      <c r="C6" s="25" t="s">
        <v>34</v>
      </c>
      <c r="D6" s="26">
        <v>0.25</v>
      </c>
      <c r="F6" s="10" t="s">
        <v>35</v>
      </c>
      <c r="G6" s="6">
        <v>2900</v>
      </c>
      <c r="H6" s="6">
        <v>1100</v>
      </c>
      <c r="I6" s="6">
        <v>2800</v>
      </c>
      <c r="J6" s="6">
        <v>1500</v>
      </c>
      <c r="K6" s="6">
        <v>3000</v>
      </c>
      <c r="L6" s="6">
        <v>2500</v>
      </c>
      <c r="M6" s="6">
        <v>2800</v>
      </c>
      <c r="N6" s="6">
        <v>3000</v>
      </c>
      <c r="O6" s="6">
        <v>2900</v>
      </c>
      <c r="P6" s="6">
        <v>2600</v>
      </c>
      <c r="Q6" s="6">
        <v>1400</v>
      </c>
      <c r="R6" s="11">
        <v>2700</v>
      </c>
      <c r="S6" s="11">
        <v>3000</v>
      </c>
      <c r="T6" s="11">
        <v>1800</v>
      </c>
      <c r="U6" s="11">
        <v>3000</v>
      </c>
      <c r="V6" s="12">
        <f>SUM(demand)</f>
        <v>37000</v>
      </c>
      <c r="X6" s="2" t="s">
        <v>3</v>
      </c>
      <c r="Y6" s="2" t="s">
        <v>15</v>
      </c>
      <c r="Z6" s="6">
        <v>66400</v>
      </c>
      <c r="AA6" s="7">
        <v>0</v>
      </c>
      <c r="AB6" s="7">
        <v>0</v>
      </c>
    </row>
    <row r="7" spans="2:28" x14ac:dyDescent="0.45">
      <c r="B7" s="26" t="s">
        <v>36</v>
      </c>
      <c r="C7" s="25" t="s">
        <v>37</v>
      </c>
      <c r="D7" s="26">
        <v>38.340000000000003</v>
      </c>
      <c r="X7" s="2" t="s">
        <v>3</v>
      </c>
      <c r="Y7" s="2" t="s">
        <v>16</v>
      </c>
      <c r="Z7" s="6">
        <v>64400.000000000007</v>
      </c>
      <c r="AA7" s="7">
        <v>1</v>
      </c>
      <c r="AB7" s="7">
        <v>3000</v>
      </c>
    </row>
    <row r="8" spans="2:28" x14ac:dyDescent="0.45">
      <c r="B8" s="26" t="s">
        <v>38</v>
      </c>
      <c r="C8" s="25" t="s">
        <v>39</v>
      </c>
      <c r="D8" s="26">
        <v>4.5</v>
      </c>
      <c r="F8" s="13" t="s">
        <v>40</v>
      </c>
      <c r="G8" s="11">
        <v>4000</v>
      </c>
      <c r="J8" s="9" t="s">
        <v>90</v>
      </c>
      <c r="X8" s="2" t="s">
        <v>3</v>
      </c>
      <c r="Y8" s="2" t="s">
        <v>17</v>
      </c>
      <c r="Z8" s="6">
        <v>79100</v>
      </c>
      <c r="AA8" s="7">
        <v>1</v>
      </c>
      <c r="AB8" s="7">
        <v>2500</v>
      </c>
    </row>
    <row r="9" spans="2:28" x14ac:dyDescent="0.45">
      <c r="B9" s="26" t="s">
        <v>41</v>
      </c>
      <c r="C9" s="25" t="s">
        <v>42</v>
      </c>
      <c r="D9" s="28">
        <f>(60*1000)/3600</f>
        <v>16.666666666666668</v>
      </c>
      <c r="F9" s="13" t="s">
        <v>43</v>
      </c>
      <c r="G9" s="14">
        <v>13</v>
      </c>
      <c r="J9" s="15">
        <f>vehicle_capacity*vehicle_number</f>
        <v>52000</v>
      </c>
      <c r="X9" s="2" t="s">
        <v>3</v>
      </c>
      <c r="Y9" s="2" t="s">
        <v>18</v>
      </c>
      <c r="Z9" s="6">
        <v>82700</v>
      </c>
      <c r="AA9" s="7">
        <v>1</v>
      </c>
      <c r="AB9" s="7">
        <v>2800</v>
      </c>
    </row>
    <row r="10" spans="2:28" x14ac:dyDescent="0.45">
      <c r="B10" s="1" t="s">
        <v>44</v>
      </c>
      <c r="C10" s="25" t="s">
        <v>45</v>
      </c>
      <c r="D10" s="26">
        <v>0.45</v>
      </c>
      <c r="X10" s="2" t="s">
        <v>3</v>
      </c>
      <c r="Y10" s="2" t="s">
        <v>19</v>
      </c>
      <c r="Z10" s="6">
        <v>68700</v>
      </c>
      <c r="AA10" s="7">
        <v>1</v>
      </c>
      <c r="AB10" s="7">
        <v>3000</v>
      </c>
    </row>
    <row r="11" spans="2:28" x14ac:dyDescent="0.45">
      <c r="B11" s="1" t="s">
        <v>46</v>
      </c>
      <c r="C11" s="25" t="s">
        <v>47</v>
      </c>
      <c r="D11" s="26">
        <v>0.45</v>
      </c>
      <c r="F11" s="16" t="s">
        <v>48</v>
      </c>
      <c r="G11" s="17">
        <v>480.29015352022668</v>
      </c>
      <c r="X11" s="2" t="s">
        <v>3</v>
      </c>
      <c r="Y11" s="2" t="s">
        <v>20</v>
      </c>
      <c r="Z11" s="6">
        <v>67400</v>
      </c>
      <c r="AA11" s="7">
        <v>1</v>
      </c>
      <c r="AB11" s="7">
        <v>4000</v>
      </c>
    </row>
    <row r="12" spans="2:28" x14ac:dyDescent="0.45">
      <c r="B12" s="1" t="s">
        <v>49</v>
      </c>
      <c r="C12" s="25" t="s">
        <v>50</v>
      </c>
      <c r="D12" s="27">
        <f>1/(1000*D10*D11)</f>
        <v>4.9382716049382715E-3</v>
      </c>
      <c r="X12" s="2" t="s">
        <v>3</v>
      </c>
      <c r="Y12" s="2" t="s">
        <v>21</v>
      </c>
      <c r="Z12" s="6">
        <v>82200</v>
      </c>
      <c r="AA12" s="7">
        <v>0</v>
      </c>
      <c r="AB12" s="7">
        <v>0</v>
      </c>
    </row>
    <row r="13" spans="2:28" x14ac:dyDescent="0.45">
      <c r="B13" s="26" t="s">
        <v>51</v>
      </c>
      <c r="C13" s="25" t="s">
        <v>52</v>
      </c>
      <c r="D13" s="26">
        <v>0.6</v>
      </c>
      <c r="X13" s="2" t="s">
        <v>3</v>
      </c>
      <c r="Y13" s="2" t="s">
        <v>22</v>
      </c>
      <c r="Z13" s="6">
        <v>79800</v>
      </c>
      <c r="AA13" s="7">
        <v>1</v>
      </c>
      <c r="AB13" s="7">
        <v>4000</v>
      </c>
    </row>
    <row r="14" spans="2:28" x14ac:dyDescent="0.45">
      <c r="B14" s="18" t="s">
        <v>53</v>
      </c>
      <c r="C14" s="25" t="s">
        <v>54</v>
      </c>
      <c r="D14" s="26">
        <v>1.2040999999999999</v>
      </c>
      <c r="X14" s="2" t="s">
        <v>3</v>
      </c>
      <c r="Y14" s="2" t="s">
        <v>23</v>
      </c>
      <c r="Z14" s="6">
        <v>86600</v>
      </c>
      <c r="AA14" s="7">
        <v>1</v>
      </c>
      <c r="AB14" s="7">
        <v>2700</v>
      </c>
    </row>
    <row r="15" spans="2:28" x14ac:dyDescent="0.45">
      <c r="B15" s="26" t="s">
        <v>55</v>
      </c>
      <c r="C15" s="25" t="s">
        <v>56</v>
      </c>
      <c r="D15" s="26">
        <v>7</v>
      </c>
      <c r="X15" s="2" t="s">
        <v>3</v>
      </c>
      <c r="Y15" s="2" t="s">
        <v>24</v>
      </c>
      <c r="Z15" s="6">
        <v>78000</v>
      </c>
      <c r="AA15" s="7">
        <v>1</v>
      </c>
      <c r="AB15" s="7">
        <v>3000</v>
      </c>
    </row>
    <row r="16" spans="2:28" x14ac:dyDescent="0.45">
      <c r="B16" s="26" t="s">
        <v>57</v>
      </c>
      <c r="C16" s="25" t="s">
        <v>88</v>
      </c>
      <c r="D16" s="27">
        <f>0.5*D13*D15*D14</f>
        <v>2.52861</v>
      </c>
      <c r="X16" s="2" t="s">
        <v>3</v>
      </c>
      <c r="Y16" s="2" t="s">
        <v>25</v>
      </c>
      <c r="Z16" s="6">
        <v>76100</v>
      </c>
      <c r="AA16" s="7">
        <v>1</v>
      </c>
      <c r="AB16" s="7">
        <v>3300</v>
      </c>
    </row>
    <row r="17" spans="2:28" x14ac:dyDescent="0.45">
      <c r="B17" s="1" t="s">
        <v>58</v>
      </c>
      <c r="C17" s="25" t="s">
        <v>59</v>
      </c>
      <c r="D17" s="26">
        <v>9.81</v>
      </c>
      <c r="X17" s="2" t="s">
        <v>3</v>
      </c>
      <c r="Y17" s="2" t="s">
        <v>26</v>
      </c>
      <c r="Z17" s="6">
        <v>98700</v>
      </c>
      <c r="AA17" s="7">
        <v>1</v>
      </c>
      <c r="AB17" s="7">
        <v>3000</v>
      </c>
    </row>
    <row r="18" spans="2:28" x14ac:dyDescent="0.45">
      <c r="B18" s="26" t="s">
        <v>60</v>
      </c>
      <c r="C18" s="29" t="s">
        <v>61</v>
      </c>
      <c r="D18" s="26">
        <v>0.01</v>
      </c>
      <c r="X18" s="2" t="s">
        <v>12</v>
      </c>
      <c r="Y18" s="2" t="s">
        <v>3</v>
      </c>
      <c r="Z18" s="6">
        <v>38400</v>
      </c>
      <c r="AA18" s="7">
        <v>1</v>
      </c>
      <c r="AB18" s="7">
        <v>0</v>
      </c>
    </row>
    <row r="19" spans="2:28" x14ac:dyDescent="0.45">
      <c r="B19" s="1" t="s">
        <v>62</v>
      </c>
      <c r="C19" s="25" t="s">
        <v>63</v>
      </c>
      <c r="D19" s="26">
        <f>(D17*SIN(0))+(D17*D18*COS(0))</f>
        <v>9.8100000000000007E-2</v>
      </c>
      <c r="X19" s="2" t="s">
        <v>12</v>
      </c>
      <c r="Y19" s="2" t="s">
        <v>13</v>
      </c>
      <c r="Z19" s="6">
        <v>28100</v>
      </c>
      <c r="AA19" s="7">
        <v>0</v>
      </c>
      <c r="AB19" s="7">
        <v>0</v>
      </c>
    </row>
    <row r="20" spans="2:28" x14ac:dyDescent="0.45">
      <c r="B20" s="26" t="s">
        <v>64</v>
      </c>
      <c r="C20" s="25" t="s">
        <v>65</v>
      </c>
      <c r="D20" s="26">
        <v>3500</v>
      </c>
      <c r="X20" s="2" t="s">
        <v>12</v>
      </c>
      <c r="Y20" s="2" t="s">
        <v>14</v>
      </c>
      <c r="Z20" s="6">
        <v>23900</v>
      </c>
      <c r="AA20" s="7">
        <v>0</v>
      </c>
      <c r="AB20" s="7">
        <v>0</v>
      </c>
    </row>
    <row r="21" spans="2:28" x14ac:dyDescent="0.45">
      <c r="X21" s="2" t="s">
        <v>12</v>
      </c>
      <c r="Y21" s="2" t="s">
        <v>15</v>
      </c>
      <c r="Z21" s="6">
        <v>32299.999999999996</v>
      </c>
      <c r="AA21" s="7">
        <v>0</v>
      </c>
      <c r="AB21" s="7">
        <v>0</v>
      </c>
    </row>
    <row r="22" spans="2:28" x14ac:dyDescent="0.45">
      <c r="X22" s="2" t="s">
        <v>12</v>
      </c>
      <c r="Y22" s="2" t="s">
        <v>16</v>
      </c>
      <c r="Z22" s="6">
        <v>30400</v>
      </c>
      <c r="AA22" s="7">
        <v>0</v>
      </c>
      <c r="AB22" s="7">
        <v>0</v>
      </c>
    </row>
    <row r="23" spans="2:28" x14ac:dyDescent="0.45">
      <c r="X23" s="2" t="s">
        <v>12</v>
      </c>
      <c r="Y23" s="2" t="s">
        <v>17</v>
      </c>
      <c r="Z23" s="6">
        <v>45000</v>
      </c>
      <c r="AA23" s="7">
        <v>0</v>
      </c>
      <c r="AB23" s="7">
        <v>0</v>
      </c>
    </row>
    <row r="24" spans="2:28" x14ac:dyDescent="0.45">
      <c r="X24" s="2" t="s">
        <v>12</v>
      </c>
      <c r="Y24" s="2" t="s">
        <v>18</v>
      </c>
      <c r="Z24" s="6">
        <v>48600</v>
      </c>
      <c r="AA24" s="7">
        <v>0</v>
      </c>
      <c r="AB24" s="7">
        <v>0</v>
      </c>
    </row>
    <row r="25" spans="2:28" x14ac:dyDescent="0.45">
      <c r="X25" s="2" t="s">
        <v>12</v>
      </c>
      <c r="Y25" s="2" t="s">
        <v>19</v>
      </c>
      <c r="Z25" s="6">
        <v>34600</v>
      </c>
      <c r="AA25" s="7">
        <v>0</v>
      </c>
      <c r="AB25" s="7">
        <v>0</v>
      </c>
    </row>
    <row r="26" spans="2:28" x14ac:dyDescent="0.45">
      <c r="X26" s="2" t="s">
        <v>12</v>
      </c>
      <c r="Y26" s="2" t="s">
        <v>20</v>
      </c>
      <c r="Z26" s="6">
        <v>33300</v>
      </c>
      <c r="AA26" s="7">
        <v>0</v>
      </c>
      <c r="AB26" s="7">
        <v>0</v>
      </c>
    </row>
    <row r="27" spans="2:28" x14ac:dyDescent="0.45">
      <c r="X27" s="2" t="s">
        <v>12</v>
      </c>
      <c r="Y27" s="2" t="s">
        <v>21</v>
      </c>
      <c r="Z27" s="6">
        <v>48100</v>
      </c>
      <c r="AA27" s="7">
        <v>0</v>
      </c>
      <c r="AB27" s="7">
        <v>0</v>
      </c>
    </row>
    <row r="28" spans="2:28" x14ac:dyDescent="0.45">
      <c r="X28" s="2" t="s">
        <v>12</v>
      </c>
      <c r="Y28" s="2" t="s">
        <v>22</v>
      </c>
      <c r="Z28" s="6">
        <v>45700</v>
      </c>
      <c r="AA28" s="7">
        <v>0</v>
      </c>
      <c r="AB28" s="7">
        <v>0</v>
      </c>
    </row>
    <row r="29" spans="2:28" x14ac:dyDescent="0.45">
      <c r="X29" s="2" t="s">
        <v>12</v>
      </c>
      <c r="Y29" s="2" t="s">
        <v>23</v>
      </c>
      <c r="Z29" s="6">
        <v>52600</v>
      </c>
      <c r="AA29" s="7">
        <v>0</v>
      </c>
      <c r="AB29" s="7">
        <v>0</v>
      </c>
    </row>
    <row r="30" spans="2:28" x14ac:dyDescent="0.45">
      <c r="X30" s="2" t="s">
        <v>12</v>
      </c>
      <c r="Y30" s="2" t="s">
        <v>24</v>
      </c>
      <c r="Z30" s="6">
        <v>45900</v>
      </c>
      <c r="AA30" s="7">
        <v>0</v>
      </c>
      <c r="AB30" s="7">
        <v>0</v>
      </c>
    </row>
    <row r="31" spans="2:28" x14ac:dyDescent="0.45">
      <c r="X31" s="2" t="s">
        <v>12</v>
      </c>
      <c r="Y31" s="2" t="s">
        <v>25</v>
      </c>
      <c r="Z31" s="6">
        <v>42000</v>
      </c>
      <c r="AA31" s="7">
        <v>0</v>
      </c>
      <c r="AB31" s="7">
        <v>0</v>
      </c>
    </row>
    <row r="32" spans="2:28" x14ac:dyDescent="0.45">
      <c r="X32" s="2" t="s">
        <v>12</v>
      </c>
      <c r="Y32" s="2" t="s">
        <v>26</v>
      </c>
      <c r="Z32" s="6">
        <v>64599.999999999993</v>
      </c>
      <c r="AA32" s="7">
        <v>0</v>
      </c>
      <c r="AB32" s="7">
        <v>0</v>
      </c>
    </row>
    <row r="33" spans="24:28" x14ac:dyDescent="0.45">
      <c r="X33" s="2" t="s">
        <v>13</v>
      </c>
      <c r="Y33" s="2" t="s">
        <v>3</v>
      </c>
      <c r="Z33" s="6">
        <v>69700</v>
      </c>
      <c r="AA33" s="7">
        <v>1</v>
      </c>
      <c r="AB33" s="7">
        <v>0</v>
      </c>
    </row>
    <row r="34" spans="24:28" x14ac:dyDescent="0.45">
      <c r="X34" s="2" t="s">
        <v>13</v>
      </c>
      <c r="Y34" s="2" t="s">
        <v>12</v>
      </c>
      <c r="Z34" s="6">
        <v>31300</v>
      </c>
      <c r="AA34" s="7">
        <v>0</v>
      </c>
      <c r="AB34" s="7">
        <v>0</v>
      </c>
    </row>
    <row r="35" spans="24:28" x14ac:dyDescent="0.45">
      <c r="X35" s="2" t="s">
        <v>13</v>
      </c>
      <c r="Y35" s="2" t="s">
        <v>14</v>
      </c>
      <c r="Z35" s="6">
        <v>31900</v>
      </c>
      <c r="AA35" s="7">
        <v>0</v>
      </c>
      <c r="AB35" s="7">
        <v>0</v>
      </c>
    </row>
    <row r="36" spans="24:28" x14ac:dyDescent="0.45">
      <c r="X36" s="2" t="s">
        <v>13</v>
      </c>
      <c r="Y36" s="2" t="s">
        <v>15</v>
      </c>
      <c r="Z36" s="6">
        <v>18200</v>
      </c>
      <c r="AA36" s="7">
        <v>0</v>
      </c>
      <c r="AB36" s="7">
        <v>0</v>
      </c>
    </row>
    <row r="37" spans="24:28" x14ac:dyDescent="0.45">
      <c r="X37" s="2" t="s">
        <v>13</v>
      </c>
      <c r="Y37" s="2" t="s">
        <v>16</v>
      </c>
      <c r="Z37" s="6">
        <v>10500</v>
      </c>
      <c r="AA37" s="7">
        <v>0</v>
      </c>
      <c r="AB37" s="7">
        <v>0</v>
      </c>
    </row>
    <row r="38" spans="24:28" x14ac:dyDescent="0.45">
      <c r="X38" s="2" t="s">
        <v>13</v>
      </c>
      <c r="Y38" s="2" t="s">
        <v>17</v>
      </c>
      <c r="Z38" s="6">
        <v>21100</v>
      </c>
      <c r="AA38" s="7">
        <v>0</v>
      </c>
      <c r="AB38" s="7">
        <v>0</v>
      </c>
    </row>
    <row r="39" spans="24:28" x14ac:dyDescent="0.45">
      <c r="X39" s="2" t="s">
        <v>13</v>
      </c>
      <c r="Y39" s="2" t="s">
        <v>18</v>
      </c>
      <c r="Z39" s="6">
        <v>24700</v>
      </c>
      <c r="AA39" s="7">
        <v>0</v>
      </c>
      <c r="AB39" s="7">
        <v>0</v>
      </c>
    </row>
    <row r="40" spans="24:28" x14ac:dyDescent="0.45">
      <c r="X40" s="2" t="s">
        <v>13</v>
      </c>
      <c r="Y40" s="2" t="s">
        <v>19</v>
      </c>
      <c r="Z40" s="6">
        <v>14700</v>
      </c>
      <c r="AA40" s="7">
        <v>0</v>
      </c>
      <c r="AB40" s="7">
        <v>0</v>
      </c>
    </row>
    <row r="41" spans="24:28" x14ac:dyDescent="0.45">
      <c r="X41" s="2" t="s">
        <v>13</v>
      </c>
      <c r="Y41" s="2" t="s">
        <v>20</v>
      </c>
      <c r="Z41" s="6">
        <v>13400</v>
      </c>
      <c r="AA41" s="7">
        <v>0</v>
      </c>
      <c r="AB41" s="7">
        <v>0</v>
      </c>
    </row>
    <row r="42" spans="24:28" x14ac:dyDescent="0.45">
      <c r="X42" s="2" t="s">
        <v>13</v>
      </c>
      <c r="Y42" s="2" t="s">
        <v>21</v>
      </c>
      <c r="Z42" s="6">
        <v>18600</v>
      </c>
      <c r="AA42" s="7">
        <v>0</v>
      </c>
      <c r="AB42" s="7">
        <v>0</v>
      </c>
    </row>
    <row r="43" spans="24:28" x14ac:dyDescent="0.45">
      <c r="X43" s="2" t="s">
        <v>13</v>
      </c>
      <c r="Y43" s="2" t="s">
        <v>22</v>
      </c>
      <c r="Z43" s="6">
        <v>53700</v>
      </c>
      <c r="AA43" s="7">
        <v>0</v>
      </c>
      <c r="AB43" s="7">
        <v>0</v>
      </c>
    </row>
    <row r="44" spans="24:28" x14ac:dyDescent="0.45">
      <c r="X44" s="2" t="s">
        <v>13</v>
      </c>
      <c r="Y44" s="2" t="s">
        <v>23</v>
      </c>
      <c r="Z44" s="6">
        <v>29700</v>
      </c>
      <c r="AA44" s="7">
        <v>0</v>
      </c>
      <c r="AB44" s="7">
        <v>0</v>
      </c>
    </row>
    <row r="45" spans="24:28" x14ac:dyDescent="0.45">
      <c r="X45" s="2" t="s">
        <v>13</v>
      </c>
      <c r="Y45" s="2" t="s">
        <v>24</v>
      </c>
      <c r="Z45" s="6">
        <v>26300</v>
      </c>
      <c r="AA45" s="7">
        <v>0</v>
      </c>
      <c r="AB45" s="7">
        <v>0</v>
      </c>
    </row>
    <row r="46" spans="24:28" x14ac:dyDescent="0.45">
      <c r="X46" s="2" t="s">
        <v>13</v>
      </c>
      <c r="Y46" s="2" t="s">
        <v>25</v>
      </c>
      <c r="Z46" s="6">
        <v>22100</v>
      </c>
      <c r="AA46" s="7">
        <v>0</v>
      </c>
      <c r="AB46" s="7">
        <v>0</v>
      </c>
    </row>
    <row r="47" spans="24:28" x14ac:dyDescent="0.45">
      <c r="X47" s="2" t="s">
        <v>13</v>
      </c>
      <c r="Y47" s="2" t="s">
        <v>26</v>
      </c>
      <c r="Z47" s="6">
        <v>40700</v>
      </c>
      <c r="AA47" s="7">
        <v>0</v>
      </c>
      <c r="AB47" s="7">
        <v>0</v>
      </c>
    </row>
    <row r="48" spans="24:28" x14ac:dyDescent="0.45">
      <c r="X48" s="2" t="s">
        <v>14</v>
      </c>
      <c r="Y48" s="2" t="s">
        <v>3</v>
      </c>
      <c r="Z48" s="6">
        <v>55900</v>
      </c>
      <c r="AA48" s="7">
        <v>1</v>
      </c>
      <c r="AB48" s="7">
        <v>0</v>
      </c>
    </row>
    <row r="49" spans="24:28" x14ac:dyDescent="0.45">
      <c r="X49" s="2" t="s">
        <v>14</v>
      </c>
      <c r="Y49" s="2" t="s">
        <v>12</v>
      </c>
      <c r="Z49" s="6">
        <v>17500</v>
      </c>
      <c r="AA49" s="7">
        <v>0</v>
      </c>
      <c r="AB49" s="7">
        <v>0</v>
      </c>
    </row>
    <row r="50" spans="24:28" x14ac:dyDescent="0.45">
      <c r="X50" s="2" t="s">
        <v>14</v>
      </c>
      <c r="Y50" s="2" t="s">
        <v>13</v>
      </c>
      <c r="Z50" s="6">
        <v>15000</v>
      </c>
      <c r="AA50" s="7">
        <v>0</v>
      </c>
      <c r="AB50" s="7">
        <v>0</v>
      </c>
    </row>
    <row r="51" spans="24:28" x14ac:dyDescent="0.45">
      <c r="X51" s="2" t="s">
        <v>14</v>
      </c>
      <c r="Y51" s="2" t="s">
        <v>15</v>
      </c>
      <c r="Z51" s="6">
        <v>9000</v>
      </c>
      <c r="AA51" s="7">
        <v>0</v>
      </c>
      <c r="AB51" s="7">
        <v>0</v>
      </c>
    </row>
    <row r="52" spans="24:28" x14ac:dyDescent="0.45">
      <c r="X52" s="2" t="s">
        <v>14</v>
      </c>
      <c r="Y52" s="2" t="s">
        <v>16</v>
      </c>
      <c r="Z52" s="6">
        <v>15700</v>
      </c>
      <c r="AA52" s="7">
        <v>0</v>
      </c>
      <c r="AB52" s="7">
        <v>0</v>
      </c>
    </row>
    <row r="53" spans="24:28" x14ac:dyDescent="0.45">
      <c r="X53" s="2" t="s">
        <v>14</v>
      </c>
      <c r="Y53" s="2" t="s">
        <v>17</v>
      </c>
      <c r="Z53" s="6">
        <v>27400</v>
      </c>
      <c r="AA53" s="7">
        <v>0</v>
      </c>
      <c r="AB53" s="7">
        <v>0</v>
      </c>
    </row>
    <row r="54" spans="24:28" x14ac:dyDescent="0.45">
      <c r="X54" s="2" t="s">
        <v>14</v>
      </c>
      <c r="Y54" s="2" t="s">
        <v>18</v>
      </c>
      <c r="Z54" s="6">
        <v>22900</v>
      </c>
      <c r="AA54" s="7">
        <v>0</v>
      </c>
      <c r="AB54" s="7">
        <v>0</v>
      </c>
    </row>
    <row r="55" spans="24:28" x14ac:dyDescent="0.45">
      <c r="X55" s="2" t="s">
        <v>14</v>
      </c>
      <c r="Y55" s="2" t="s">
        <v>19</v>
      </c>
      <c r="Z55" s="6">
        <v>20000</v>
      </c>
      <c r="AA55" s="7">
        <v>0</v>
      </c>
      <c r="AB55" s="7">
        <v>0</v>
      </c>
    </row>
    <row r="56" spans="24:28" x14ac:dyDescent="0.45">
      <c r="X56" s="2" t="s">
        <v>14</v>
      </c>
      <c r="Y56" s="2" t="s">
        <v>20</v>
      </c>
      <c r="Z56" s="6">
        <v>18600</v>
      </c>
      <c r="AA56" s="7">
        <v>0</v>
      </c>
      <c r="AB56" s="7">
        <v>0</v>
      </c>
    </row>
    <row r="57" spans="24:28" x14ac:dyDescent="0.45">
      <c r="X57" s="2" t="s">
        <v>14</v>
      </c>
      <c r="Y57" s="2" t="s">
        <v>21</v>
      </c>
      <c r="Z57" s="6">
        <v>18000</v>
      </c>
      <c r="AA57" s="7">
        <v>0</v>
      </c>
      <c r="AB57" s="7">
        <v>0</v>
      </c>
    </row>
    <row r="58" spans="24:28" x14ac:dyDescent="0.45">
      <c r="X58" s="2" t="s">
        <v>14</v>
      </c>
      <c r="Y58" s="2" t="s">
        <v>22</v>
      </c>
      <c r="Z58" s="6">
        <v>26800</v>
      </c>
      <c r="AA58" s="7">
        <v>0</v>
      </c>
      <c r="AB58" s="7">
        <v>0</v>
      </c>
    </row>
    <row r="59" spans="24:28" x14ac:dyDescent="0.45">
      <c r="X59" s="2" t="s">
        <v>14</v>
      </c>
      <c r="Y59" s="2" t="s">
        <v>23</v>
      </c>
      <c r="Z59" s="6">
        <v>20600</v>
      </c>
      <c r="AA59" s="7">
        <v>0</v>
      </c>
      <c r="AB59" s="7">
        <v>0</v>
      </c>
    </row>
    <row r="60" spans="24:28" x14ac:dyDescent="0.45">
      <c r="X60" s="2" t="s">
        <v>14</v>
      </c>
      <c r="Y60" s="2" t="s">
        <v>24</v>
      </c>
      <c r="Z60" s="6">
        <v>31300</v>
      </c>
      <c r="AA60" s="7">
        <v>0</v>
      </c>
      <c r="AB60" s="7">
        <v>0</v>
      </c>
    </row>
    <row r="61" spans="24:28" x14ac:dyDescent="0.45">
      <c r="X61" s="2" t="s">
        <v>14</v>
      </c>
      <c r="Y61" s="2" t="s">
        <v>25</v>
      </c>
      <c r="Z61" s="6">
        <v>27400</v>
      </c>
      <c r="AA61" s="7">
        <v>0</v>
      </c>
      <c r="AB61" s="7">
        <v>0</v>
      </c>
    </row>
    <row r="62" spans="24:28" x14ac:dyDescent="0.45">
      <c r="X62" s="2" t="s">
        <v>14</v>
      </c>
      <c r="Y62" s="2" t="s">
        <v>26</v>
      </c>
      <c r="Z62" s="6">
        <v>32600</v>
      </c>
      <c r="AA62" s="7">
        <v>0</v>
      </c>
      <c r="AB62" s="7">
        <v>0</v>
      </c>
    </row>
    <row r="63" spans="24:28" x14ac:dyDescent="0.45">
      <c r="X63" s="2" t="s">
        <v>15</v>
      </c>
      <c r="Y63" s="2" t="s">
        <v>3</v>
      </c>
      <c r="Z63" s="6">
        <v>66100</v>
      </c>
      <c r="AA63" s="7">
        <v>1</v>
      </c>
      <c r="AB63" s="7">
        <v>0</v>
      </c>
    </row>
    <row r="64" spans="24:28" x14ac:dyDescent="0.45">
      <c r="X64" s="2" t="s">
        <v>15</v>
      </c>
      <c r="Y64" s="2" t="s">
        <v>12</v>
      </c>
      <c r="Z64" s="6">
        <v>27800</v>
      </c>
      <c r="AA64" s="7">
        <v>0</v>
      </c>
      <c r="AB64" s="7">
        <v>0</v>
      </c>
    </row>
    <row r="65" spans="24:28" x14ac:dyDescent="0.45">
      <c r="X65" s="2" t="s">
        <v>15</v>
      </c>
      <c r="Y65" s="2" t="s">
        <v>13</v>
      </c>
      <c r="Z65" s="6">
        <v>20800</v>
      </c>
      <c r="AA65" s="7">
        <v>0</v>
      </c>
      <c r="AB65" s="7">
        <v>0</v>
      </c>
    </row>
    <row r="66" spans="24:28" x14ac:dyDescent="0.45">
      <c r="X66" s="2" t="s">
        <v>15</v>
      </c>
      <c r="Y66" s="2" t="s">
        <v>14</v>
      </c>
      <c r="Z66" s="6">
        <v>7400</v>
      </c>
      <c r="AA66" s="7">
        <v>0</v>
      </c>
      <c r="AB66" s="7">
        <v>0</v>
      </c>
    </row>
    <row r="67" spans="24:28" x14ac:dyDescent="0.45">
      <c r="X67" s="2" t="s">
        <v>15</v>
      </c>
      <c r="Y67" s="2" t="s">
        <v>16</v>
      </c>
      <c r="Z67" s="6">
        <v>11300</v>
      </c>
      <c r="AA67" s="7">
        <v>0</v>
      </c>
      <c r="AB67" s="7">
        <v>0</v>
      </c>
    </row>
    <row r="68" spans="24:28" x14ac:dyDescent="0.45">
      <c r="X68" s="2" t="s">
        <v>15</v>
      </c>
      <c r="Y68" s="2" t="s">
        <v>17</v>
      </c>
      <c r="Z68" s="6">
        <v>27000</v>
      </c>
      <c r="AA68" s="7">
        <v>0</v>
      </c>
      <c r="AB68" s="7">
        <v>0</v>
      </c>
    </row>
    <row r="69" spans="24:28" x14ac:dyDescent="0.45">
      <c r="X69" s="2" t="s">
        <v>15</v>
      </c>
      <c r="Y69" s="2" t="s">
        <v>18</v>
      </c>
      <c r="Z69" s="6">
        <v>24300</v>
      </c>
      <c r="AA69" s="7">
        <v>0</v>
      </c>
      <c r="AB69" s="7">
        <v>0</v>
      </c>
    </row>
    <row r="70" spans="24:28" x14ac:dyDescent="0.45">
      <c r="X70" s="2" t="s">
        <v>15</v>
      </c>
      <c r="Y70" s="2" t="s">
        <v>19</v>
      </c>
      <c r="Z70" s="6">
        <v>15500</v>
      </c>
      <c r="AA70" s="7">
        <v>0</v>
      </c>
      <c r="AB70" s="7">
        <v>0</v>
      </c>
    </row>
    <row r="71" spans="24:28" x14ac:dyDescent="0.45">
      <c r="X71" s="2" t="s">
        <v>15</v>
      </c>
      <c r="Y71" s="2" t="s">
        <v>20</v>
      </c>
      <c r="Z71" s="6">
        <v>18100</v>
      </c>
      <c r="AA71" s="7">
        <v>0</v>
      </c>
      <c r="AB71" s="7">
        <v>0</v>
      </c>
    </row>
    <row r="72" spans="24:28" x14ac:dyDescent="0.45">
      <c r="X72" s="2" t="s">
        <v>15</v>
      </c>
      <c r="Y72" s="2" t="s">
        <v>21</v>
      </c>
      <c r="Z72" s="6">
        <v>11400</v>
      </c>
      <c r="AA72" s="7">
        <v>0</v>
      </c>
      <c r="AB72" s="7">
        <v>0</v>
      </c>
    </row>
    <row r="73" spans="24:28" x14ac:dyDescent="0.45">
      <c r="X73" s="2" t="s">
        <v>15</v>
      </c>
      <c r="Y73" s="2" t="s">
        <v>22</v>
      </c>
      <c r="Z73" s="6">
        <v>17400</v>
      </c>
      <c r="AA73" s="7">
        <v>0</v>
      </c>
      <c r="AB73" s="7">
        <v>0</v>
      </c>
    </row>
    <row r="74" spans="24:28" x14ac:dyDescent="0.45">
      <c r="X74" s="2" t="s">
        <v>15</v>
      </c>
      <c r="Y74" s="2" t="s">
        <v>23</v>
      </c>
      <c r="Z74" s="6">
        <v>14100</v>
      </c>
      <c r="AA74" s="7">
        <v>0</v>
      </c>
      <c r="AB74" s="7">
        <v>0</v>
      </c>
    </row>
    <row r="75" spans="24:28" x14ac:dyDescent="0.45">
      <c r="X75" s="2" t="s">
        <v>15</v>
      </c>
      <c r="Y75" s="2" t="s">
        <v>24</v>
      </c>
      <c r="Z75" s="6">
        <v>25100</v>
      </c>
      <c r="AA75" s="7">
        <v>0</v>
      </c>
      <c r="AB75" s="7">
        <v>0</v>
      </c>
    </row>
    <row r="76" spans="24:28" x14ac:dyDescent="0.45">
      <c r="X76" s="2" t="s">
        <v>15</v>
      </c>
      <c r="Y76" s="2" t="s">
        <v>25</v>
      </c>
      <c r="Z76" s="6">
        <v>27100</v>
      </c>
      <c r="AA76" s="7">
        <v>0</v>
      </c>
      <c r="AB76" s="7">
        <v>0</v>
      </c>
    </row>
    <row r="77" spans="24:28" x14ac:dyDescent="0.45">
      <c r="X77" s="2" t="s">
        <v>15</v>
      </c>
      <c r="Y77" s="2" t="s">
        <v>26</v>
      </c>
      <c r="Z77" s="6">
        <v>32299.999999999996</v>
      </c>
      <c r="AA77" s="7">
        <v>0</v>
      </c>
      <c r="AB77" s="7">
        <v>0</v>
      </c>
    </row>
    <row r="78" spans="24:28" x14ac:dyDescent="0.45">
      <c r="X78" s="2" t="s">
        <v>16</v>
      </c>
      <c r="Y78" s="2" t="s">
        <v>3</v>
      </c>
      <c r="Z78" s="6">
        <v>65099.999999999993</v>
      </c>
      <c r="AA78" s="7">
        <v>1</v>
      </c>
      <c r="AB78" s="7">
        <v>0</v>
      </c>
    </row>
    <row r="79" spans="24:28" x14ac:dyDescent="0.45">
      <c r="X79" s="2" t="s">
        <v>16</v>
      </c>
      <c r="Y79" s="2" t="s">
        <v>12</v>
      </c>
      <c r="Z79" s="6">
        <v>26700</v>
      </c>
      <c r="AA79" s="7">
        <v>0</v>
      </c>
      <c r="AB79" s="7">
        <v>0</v>
      </c>
    </row>
    <row r="80" spans="24:28" x14ac:dyDescent="0.45">
      <c r="X80" s="2" t="s">
        <v>16</v>
      </c>
      <c r="Y80" s="2" t="s">
        <v>13</v>
      </c>
      <c r="Z80" s="6">
        <v>6200</v>
      </c>
      <c r="AA80" s="7">
        <v>0</v>
      </c>
      <c r="AB80" s="7">
        <v>0</v>
      </c>
    </row>
    <row r="81" spans="24:28" x14ac:dyDescent="0.45">
      <c r="X81" s="2" t="s">
        <v>16</v>
      </c>
      <c r="Y81" s="2" t="s">
        <v>14</v>
      </c>
      <c r="Z81" s="6">
        <v>16500</v>
      </c>
      <c r="AA81" s="7">
        <v>0</v>
      </c>
      <c r="AB81" s="7">
        <v>0</v>
      </c>
    </row>
    <row r="82" spans="24:28" x14ac:dyDescent="0.45">
      <c r="X82" s="2" t="s">
        <v>16</v>
      </c>
      <c r="Y82" s="2" t="s">
        <v>15</v>
      </c>
      <c r="Z82" s="6">
        <v>9700</v>
      </c>
      <c r="AA82" s="7">
        <v>0</v>
      </c>
      <c r="AB82" s="7">
        <v>0</v>
      </c>
    </row>
    <row r="83" spans="24:28" x14ac:dyDescent="0.45">
      <c r="X83" s="2" t="s">
        <v>16</v>
      </c>
      <c r="Y83" s="2" t="s">
        <v>17</v>
      </c>
      <c r="Z83" s="6">
        <v>13600</v>
      </c>
      <c r="AA83" s="7">
        <v>0</v>
      </c>
      <c r="AB83" s="7">
        <v>0</v>
      </c>
    </row>
    <row r="84" spans="24:28" x14ac:dyDescent="0.45">
      <c r="X84" s="2" t="s">
        <v>16</v>
      </c>
      <c r="Y84" s="2" t="s">
        <v>18</v>
      </c>
      <c r="Z84" s="6">
        <v>9100</v>
      </c>
      <c r="AA84" s="7">
        <v>0</v>
      </c>
      <c r="AB84" s="7">
        <v>0</v>
      </c>
    </row>
    <row r="85" spans="24:28" x14ac:dyDescent="0.45">
      <c r="X85" s="2" t="s">
        <v>16</v>
      </c>
      <c r="Y85" s="2" t="s">
        <v>19</v>
      </c>
      <c r="Z85" s="6">
        <v>6200</v>
      </c>
      <c r="AA85" s="7">
        <v>0</v>
      </c>
      <c r="AB85" s="7">
        <v>0</v>
      </c>
    </row>
    <row r="86" spans="24:28" x14ac:dyDescent="0.45">
      <c r="X86" s="2" t="s">
        <v>16</v>
      </c>
      <c r="Y86" s="2" t="s">
        <v>20</v>
      </c>
      <c r="Z86" s="6">
        <v>5100</v>
      </c>
      <c r="AA86" s="7">
        <v>0</v>
      </c>
      <c r="AB86" s="7">
        <v>0</v>
      </c>
    </row>
    <row r="87" spans="24:28" x14ac:dyDescent="0.45">
      <c r="X87" s="2" t="s">
        <v>16</v>
      </c>
      <c r="Y87" s="2" t="s">
        <v>21</v>
      </c>
      <c r="Z87" s="6">
        <v>10400</v>
      </c>
      <c r="AA87" s="7">
        <v>0</v>
      </c>
      <c r="AB87" s="7">
        <v>0</v>
      </c>
    </row>
    <row r="88" spans="24:28" x14ac:dyDescent="0.45">
      <c r="X88" s="2" t="s">
        <v>16</v>
      </c>
      <c r="Y88" s="2" t="s">
        <v>22</v>
      </c>
      <c r="Z88" s="6">
        <v>24200</v>
      </c>
      <c r="AA88" s="7">
        <v>0</v>
      </c>
      <c r="AB88" s="7">
        <v>0</v>
      </c>
    </row>
    <row r="89" spans="24:28" x14ac:dyDescent="0.45">
      <c r="X89" s="2" t="s">
        <v>16</v>
      </c>
      <c r="Y89" s="2" t="s">
        <v>23</v>
      </c>
      <c r="Z89" s="6">
        <v>21300</v>
      </c>
      <c r="AA89" s="7">
        <v>0</v>
      </c>
      <c r="AB89" s="7">
        <v>0</v>
      </c>
    </row>
    <row r="90" spans="24:28" x14ac:dyDescent="0.45">
      <c r="X90" s="2" t="s">
        <v>16</v>
      </c>
      <c r="Y90" s="2" t="s">
        <v>24</v>
      </c>
      <c r="Z90" s="6">
        <v>18100</v>
      </c>
      <c r="AA90" s="7">
        <v>0</v>
      </c>
      <c r="AB90" s="7">
        <v>0</v>
      </c>
    </row>
    <row r="91" spans="24:28" x14ac:dyDescent="0.45">
      <c r="X91" s="2" t="s">
        <v>16</v>
      </c>
      <c r="Y91" s="2" t="s">
        <v>25</v>
      </c>
      <c r="Z91" s="6">
        <v>13500</v>
      </c>
      <c r="AA91" s="7">
        <v>0</v>
      </c>
      <c r="AB91" s="7">
        <v>0</v>
      </c>
    </row>
    <row r="92" spans="24:28" x14ac:dyDescent="0.45">
      <c r="X92" s="2" t="s">
        <v>16</v>
      </c>
      <c r="Y92" s="2" t="s">
        <v>26</v>
      </c>
      <c r="Z92" s="6">
        <v>18800</v>
      </c>
      <c r="AA92" s="7">
        <v>0</v>
      </c>
      <c r="AB92" s="7">
        <v>0</v>
      </c>
    </row>
    <row r="93" spans="24:28" x14ac:dyDescent="0.45">
      <c r="X93" s="2" t="s">
        <v>17</v>
      </c>
      <c r="Y93" s="2" t="s">
        <v>3</v>
      </c>
      <c r="Z93" s="6">
        <v>77200</v>
      </c>
      <c r="AA93" s="7">
        <v>1</v>
      </c>
      <c r="AB93" s="7">
        <v>0</v>
      </c>
    </row>
    <row r="94" spans="24:28" x14ac:dyDescent="0.45">
      <c r="X94" s="2" t="s">
        <v>17</v>
      </c>
      <c r="Y94" s="2" t="s">
        <v>12</v>
      </c>
      <c r="Z94" s="6">
        <v>38800</v>
      </c>
      <c r="AA94" s="7">
        <v>0</v>
      </c>
      <c r="AB94" s="7">
        <v>0</v>
      </c>
    </row>
    <row r="95" spans="24:28" x14ac:dyDescent="0.45">
      <c r="X95" s="2" t="s">
        <v>17</v>
      </c>
      <c r="Y95" s="2" t="s">
        <v>13</v>
      </c>
      <c r="Z95" s="6">
        <v>19000</v>
      </c>
      <c r="AA95" s="7">
        <v>0</v>
      </c>
      <c r="AB95" s="7">
        <v>0</v>
      </c>
    </row>
    <row r="96" spans="24:28" x14ac:dyDescent="0.45">
      <c r="X96" s="2" t="s">
        <v>17</v>
      </c>
      <c r="Y96" s="2" t="s">
        <v>14</v>
      </c>
      <c r="Z96" s="6">
        <v>39400</v>
      </c>
      <c r="AA96" s="7">
        <v>0</v>
      </c>
      <c r="AB96" s="7">
        <v>0</v>
      </c>
    </row>
    <row r="97" spans="24:28" x14ac:dyDescent="0.45">
      <c r="X97" s="2" t="s">
        <v>17</v>
      </c>
      <c r="Y97" s="2" t="s">
        <v>15</v>
      </c>
      <c r="Z97" s="6">
        <v>23600</v>
      </c>
      <c r="AA97" s="7">
        <v>0</v>
      </c>
      <c r="AB97" s="7">
        <v>0</v>
      </c>
    </row>
    <row r="98" spans="24:28" x14ac:dyDescent="0.45">
      <c r="X98" s="2" t="s">
        <v>17</v>
      </c>
      <c r="Y98" s="2" t="s">
        <v>16</v>
      </c>
      <c r="Z98" s="6">
        <v>16800</v>
      </c>
      <c r="AA98" s="7">
        <v>0</v>
      </c>
      <c r="AB98" s="7">
        <v>0</v>
      </c>
    </row>
    <row r="99" spans="24:28" x14ac:dyDescent="0.45">
      <c r="X99" s="2" t="s">
        <v>17</v>
      </c>
      <c r="Y99" s="2" t="s">
        <v>18</v>
      </c>
      <c r="Z99" s="6">
        <v>6000</v>
      </c>
      <c r="AA99" s="7">
        <v>0</v>
      </c>
      <c r="AB99" s="7">
        <v>0</v>
      </c>
    </row>
    <row r="100" spans="24:28" x14ac:dyDescent="0.45">
      <c r="X100" s="2" t="s">
        <v>17</v>
      </c>
      <c r="Y100" s="2" t="s">
        <v>19</v>
      </c>
      <c r="Z100" s="6">
        <v>10400</v>
      </c>
      <c r="AA100" s="7">
        <v>0</v>
      </c>
      <c r="AB100" s="7">
        <v>0</v>
      </c>
    </row>
    <row r="101" spans="24:28" x14ac:dyDescent="0.45">
      <c r="X101" s="2" t="s">
        <v>17</v>
      </c>
      <c r="Y101" s="2" t="s">
        <v>20</v>
      </c>
      <c r="Z101" s="6">
        <v>15800</v>
      </c>
      <c r="AA101" s="7">
        <v>0</v>
      </c>
      <c r="AB101" s="7">
        <v>0</v>
      </c>
    </row>
    <row r="102" spans="24:28" x14ac:dyDescent="0.45">
      <c r="X102" s="2" t="s">
        <v>17</v>
      </c>
      <c r="Y102" s="2" t="s">
        <v>21</v>
      </c>
      <c r="Z102" s="6">
        <v>17600</v>
      </c>
      <c r="AA102" s="7">
        <v>0</v>
      </c>
      <c r="AB102" s="7">
        <v>0</v>
      </c>
    </row>
    <row r="103" spans="24:28" x14ac:dyDescent="0.45">
      <c r="X103" s="2" t="s">
        <v>17</v>
      </c>
      <c r="Y103" s="2" t="s">
        <v>22</v>
      </c>
      <c r="Z103" s="6">
        <v>31100</v>
      </c>
      <c r="AA103" s="7">
        <v>0</v>
      </c>
      <c r="AB103" s="7">
        <v>0</v>
      </c>
    </row>
    <row r="104" spans="24:28" x14ac:dyDescent="0.45">
      <c r="X104" s="2" t="s">
        <v>17</v>
      </c>
      <c r="Y104" s="2" t="s">
        <v>23</v>
      </c>
      <c r="Z104" s="6">
        <v>28100</v>
      </c>
      <c r="AA104" s="7">
        <v>0</v>
      </c>
      <c r="AB104" s="7">
        <v>0</v>
      </c>
    </row>
    <row r="105" spans="24:28" x14ac:dyDescent="0.45">
      <c r="X105" s="2" t="s">
        <v>17</v>
      </c>
      <c r="Y105" s="2" t="s">
        <v>24</v>
      </c>
      <c r="Z105" s="6">
        <v>18700</v>
      </c>
      <c r="AA105" s="7">
        <v>0</v>
      </c>
      <c r="AB105" s="7">
        <v>0</v>
      </c>
    </row>
    <row r="106" spans="24:28" x14ac:dyDescent="0.45">
      <c r="X106" s="2" t="s">
        <v>17</v>
      </c>
      <c r="Y106" s="2" t="s">
        <v>25</v>
      </c>
      <c r="Z106" s="6">
        <v>14600</v>
      </c>
      <c r="AA106" s="7">
        <v>0</v>
      </c>
      <c r="AB106" s="7">
        <v>0</v>
      </c>
    </row>
    <row r="107" spans="24:28" x14ac:dyDescent="0.45">
      <c r="X107" s="2" t="s">
        <v>17</v>
      </c>
      <c r="Y107" s="2" t="s">
        <v>26</v>
      </c>
      <c r="Z107" s="6">
        <v>24600</v>
      </c>
      <c r="AA107" s="7">
        <v>0</v>
      </c>
      <c r="AB107" s="7">
        <v>0</v>
      </c>
    </row>
    <row r="108" spans="24:28" x14ac:dyDescent="0.45">
      <c r="X108" s="2" t="s">
        <v>18</v>
      </c>
      <c r="Y108" s="2" t="s">
        <v>3</v>
      </c>
      <c r="Z108" s="6">
        <v>76700</v>
      </c>
      <c r="AA108" s="7">
        <v>1</v>
      </c>
      <c r="AB108" s="7">
        <v>0</v>
      </c>
    </row>
    <row r="109" spans="24:28" x14ac:dyDescent="0.45">
      <c r="X109" s="2" t="s">
        <v>18</v>
      </c>
      <c r="Y109" s="2" t="s">
        <v>12</v>
      </c>
      <c r="Z109" s="6">
        <v>38400</v>
      </c>
      <c r="AA109" s="7">
        <v>0</v>
      </c>
      <c r="AB109" s="7">
        <v>0</v>
      </c>
    </row>
    <row r="110" spans="24:28" x14ac:dyDescent="0.45">
      <c r="X110" s="2" t="s">
        <v>18</v>
      </c>
      <c r="Y110" s="2" t="s">
        <v>13</v>
      </c>
      <c r="Z110" s="6">
        <v>17200</v>
      </c>
      <c r="AA110" s="7">
        <v>0</v>
      </c>
      <c r="AB110" s="7">
        <v>0</v>
      </c>
    </row>
    <row r="111" spans="24:28" x14ac:dyDescent="0.45">
      <c r="X111" s="2" t="s">
        <v>18</v>
      </c>
      <c r="Y111" s="2" t="s">
        <v>14</v>
      </c>
      <c r="Z111" s="6">
        <v>29700</v>
      </c>
      <c r="AA111" s="7">
        <v>0</v>
      </c>
      <c r="AB111" s="7">
        <v>0</v>
      </c>
    </row>
    <row r="112" spans="24:28" x14ac:dyDescent="0.45">
      <c r="X112" s="2" t="s">
        <v>18</v>
      </c>
      <c r="Y112" s="2" t="s">
        <v>15</v>
      </c>
      <c r="Z112" s="6">
        <v>17700</v>
      </c>
      <c r="AA112" s="7">
        <v>0</v>
      </c>
      <c r="AB112" s="7">
        <v>0</v>
      </c>
    </row>
    <row r="113" spans="24:28" x14ac:dyDescent="0.45">
      <c r="X113" s="2" t="s">
        <v>18</v>
      </c>
      <c r="Y113" s="2" t="s">
        <v>16</v>
      </c>
      <c r="Z113" s="6">
        <v>11000</v>
      </c>
      <c r="AA113" s="7">
        <v>0</v>
      </c>
      <c r="AB113" s="7">
        <v>0</v>
      </c>
    </row>
    <row r="114" spans="24:28" x14ac:dyDescent="0.45">
      <c r="X114" s="2" t="s">
        <v>18</v>
      </c>
      <c r="Y114" s="2" t="s">
        <v>17</v>
      </c>
      <c r="Z114" s="6">
        <v>5400</v>
      </c>
      <c r="AA114" s="7">
        <v>0</v>
      </c>
      <c r="AB114" s="7">
        <v>0</v>
      </c>
    </row>
    <row r="115" spans="24:28" x14ac:dyDescent="0.45">
      <c r="X115" s="2" t="s">
        <v>18</v>
      </c>
      <c r="Y115" s="2" t="s">
        <v>19</v>
      </c>
      <c r="Z115" s="6">
        <v>4600</v>
      </c>
      <c r="AA115" s="7">
        <v>0</v>
      </c>
      <c r="AB115" s="7">
        <v>0</v>
      </c>
    </row>
    <row r="116" spans="24:28" x14ac:dyDescent="0.45">
      <c r="X116" s="2" t="s">
        <v>18</v>
      </c>
      <c r="Y116" s="2" t="s">
        <v>20</v>
      </c>
      <c r="Z116" s="6">
        <v>9900</v>
      </c>
      <c r="AA116" s="7">
        <v>0</v>
      </c>
      <c r="AB116" s="7">
        <v>0</v>
      </c>
    </row>
    <row r="117" spans="24:28" x14ac:dyDescent="0.45">
      <c r="X117" s="2" t="s">
        <v>18</v>
      </c>
      <c r="Y117" s="2" t="s">
        <v>21</v>
      </c>
      <c r="Z117" s="6">
        <v>11700</v>
      </c>
      <c r="AA117" s="7">
        <v>0</v>
      </c>
      <c r="AB117" s="7">
        <v>0</v>
      </c>
    </row>
    <row r="118" spans="24:28" x14ac:dyDescent="0.45">
      <c r="X118" s="2" t="s">
        <v>18</v>
      </c>
      <c r="Y118" s="2" t="s">
        <v>22</v>
      </c>
      <c r="Z118" s="6">
        <v>25200</v>
      </c>
      <c r="AA118" s="7">
        <v>0</v>
      </c>
      <c r="AB118" s="7">
        <v>0</v>
      </c>
    </row>
    <row r="119" spans="24:28" x14ac:dyDescent="0.45">
      <c r="X119" s="2" t="s">
        <v>18</v>
      </c>
      <c r="Y119" s="2" t="s">
        <v>23</v>
      </c>
      <c r="Z119" s="6">
        <v>22200</v>
      </c>
      <c r="AA119" s="7">
        <v>0</v>
      </c>
      <c r="AB119" s="7">
        <v>0</v>
      </c>
    </row>
    <row r="120" spans="24:28" x14ac:dyDescent="0.45">
      <c r="X120" s="2" t="s">
        <v>18</v>
      </c>
      <c r="Y120" s="2" t="s">
        <v>24</v>
      </c>
      <c r="Z120" s="6">
        <v>12800</v>
      </c>
      <c r="AA120" s="7">
        <v>0</v>
      </c>
      <c r="AB120" s="7">
        <v>0</v>
      </c>
    </row>
    <row r="121" spans="24:28" x14ac:dyDescent="0.45">
      <c r="X121" s="2" t="s">
        <v>18</v>
      </c>
      <c r="Y121" s="2" t="s">
        <v>25</v>
      </c>
      <c r="Z121" s="6">
        <v>8700</v>
      </c>
      <c r="AA121" s="7">
        <v>0</v>
      </c>
      <c r="AB121" s="7">
        <v>0</v>
      </c>
    </row>
    <row r="122" spans="24:28" x14ac:dyDescent="0.45">
      <c r="X122" s="2" t="s">
        <v>18</v>
      </c>
      <c r="Y122" s="2" t="s">
        <v>26</v>
      </c>
      <c r="Z122" s="6">
        <v>13100</v>
      </c>
      <c r="AA122" s="7">
        <v>0</v>
      </c>
      <c r="AB122" s="7">
        <v>0</v>
      </c>
    </row>
    <row r="123" spans="24:28" x14ac:dyDescent="0.45">
      <c r="X123" s="2" t="s">
        <v>19</v>
      </c>
      <c r="Y123" s="2" t="s">
        <v>3</v>
      </c>
      <c r="Z123" s="6">
        <v>76100</v>
      </c>
      <c r="AA123" s="7">
        <v>1</v>
      </c>
      <c r="AB123" s="7">
        <v>0</v>
      </c>
    </row>
    <row r="124" spans="24:28" x14ac:dyDescent="0.45">
      <c r="X124" s="2" t="s">
        <v>19</v>
      </c>
      <c r="Y124" s="2" t="s">
        <v>12</v>
      </c>
      <c r="Z124" s="6">
        <v>37700</v>
      </c>
      <c r="AA124" s="7">
        <v>0</v>
      </c>
      <c r="AB124" s="7">
        <v>0</v>
      </c>
    </row>
    <row r="125" spans="24:28" x14ac:dyDescent="0.45">
      <c r="X125" s="2" t="s">
        <v>19</v>
      </c>
      <c r="Y125" s="2" t="s">
        <v>13</v>
      </c>
      <c r="Z125" s="6">
        <v>16200</v>
      </c>
      <c r="AA125" s="7">
        <v>0</v>
      </c>
      <c r="AB125" s="7">
        <v>0</v>
      </c>
    </row>
    <row r="126" spans="24:28" x14ac:dyDescent="0.45">
      <c r="X126" s="2" t="s">
        <v>19</v>
      </c>
      <c r="Y126" s="2" t="s">
        <v>14</v>
      </c>
      <c r="Z126" s="6">
        <v>28300</v>
      </c>
      <c r="AA126" s="7">
        <v>0</v>
      </c>
      <c r="AB126" s="7">
        <v>0</v>
      </c>
    </row>
    <row r="127" spans="24:28" x14ac:dyDescent="0.45">
      <c r="X127" s="2" t="s">
        <v>19</v>
      </c>
      <c r="Y127" s="2" t="s">
        <v>15</v>
      </c>
      <c r="Z127" s="6">
        <v>16600</v>
      </c>
      <c r="AA127" s="7">
        <v>0</v>
      </c>
      <c r="AB127" s="7">
        <v>0</v>
      </c>
    </row>
    <row r="128" spans="24:28" x14ac:dyDescent="0.45">
      <c r="X128" s="2" t="s">
        <v>19</v>
      </c>
      <c r="Y128" s="2" t="s">
        <v>16</v>
      </c>
      <c r="Z128" s="6">
        <v>9900</v>
      </c>
      <c r="AA128" s="7">
        <v>0</v>
      </c>
      <c r="AB128" s="7">
        <v>0</v>
      </c>
    </row>
    <row r="129" spans="24:28" x14ac:dyDescent="0.45">
      <c r="X129" s="2" t="s">
        <v>19</v>
      </c>
      <c r="Y129" s="2" t="s">
        <v>17</v>
      </c>
      <c r="Z129" s="6">
        <v>7400</v>
      </c>
      <c r="AA129" s="7">
        <v>0</v>
      </c>
      <c r="AB129" s="7">
        <v>0</v>
      </c>
    </row>
    <row r="130" spans="24:28" x14ac:dyDescent="0.45">
      <c r="X130" s="2" t="s">
        <v>19</v>
      </c>
      <c r="Y130" s="2" t="s">
        <v>18</v>
      </c>
      <c r="Z130" s="6">
        <v>4700</v>
      </c>
      <c r="AA130" s="7">
        <v>0</v>
      </c>
      <c r="AB130" s="7">
        <v>0</v>
      </c>
    </row>
    <row r="131" spans="24:28" x14ac:dyDescent="0.45">
      <c r="X131" s="2" t="s">
        <v>19</v>
      </c>
      <c r="Y131" s="2" t="s">
        <v>20</v>
      </c>
      <c r="Z131" s="6">
        <v>8800</v>
      </c>
      <c r="AA131" s="7">
        <v>0</v>
      </c>
      <c r="AB131" s="7">
        <v>0</v>
      </c>
    </row>
    <row r="132" spans="24:28" x14ac:dyDescent="0.45">
      <c r="X132" s="2" t="s">
        <v>19</v>
      </c>
      <c r="Y132" s="2" t="s">
        <v>21</v>
      </c>
      <c r="Z132" s="6">
        <v>10600</v>
      </c>
      <c r="AA132" s="7">
        <v>0</v>
      </c>
      <c r="AB132" s="7">
        <v>0</v>
      </c>
    </row>
    <row r="133" spans="24:28" x14ac:dyDescent="0.45">
      <c r="X133" s="2" t="s">
        <v>19</v>
      </c>
      <c r="Y133" s="2" t="s">
        <v>22</v>
      </c>
      <c r="Z133" s="6">
        <v>24100</v>
      </c>
      <c r="AA133" s="7">
        <v>0</v>
      </c>
      <c r="AB133" s="7">
        <v>0</v>
      </c>
    </row>
    <row r="134" spans="24:28" x14ac:dyDescent="0.45">
      <c r="X134" s="2" t="s">
        <v>19</v>
      </c>
      <c r="Y134" s="2" t="s">
        <v>23</v>
      </c>
      <c r="Z134" s="6">
        <v>21100</v>
      </c>
      <c r="AA134" s="7">
        <v>0</v>
      </c>
      <c r="AB134" s="7">
        <v>0</v>
      </c>
    </row>
    <row r="135" spans="24:28" x14ac:dyDescent="0.45">
      <c r="X135" s="2" t="s">
        <v>19</v>
      </c>
      <c r="Y135" s="2" t="s">
        <v>24</v>
      </c>
      <c r="Z135" s="6">
        <v>11700</v>
      </c>
      <c r="AA135" s="7">
        <v>0</v>
      </c>
      <c r="AB135" s="7">
        <v>0</v>
      </c>
    </row>
    <row r="136" spans="24:28" x14ac:dyDescent="0.45">
      <c r="X136" s="2" t="s">
        <v>19</v>
      </c>
      <c r="Y136" s="2" t="s">
        <v>25</v>
      </c>
      <c r="Z136" s="6">
        <v>8300</v>
      </c>
      <c r="AA136" s="7">
        <v>0</v>
      </c>
      <c r="AB136" s="7">
        <v>0</v>
      </c>
    </row>
    <row r="137" spans="24:28" x14ac:dyDescent="0.45">
      <c r="X137" s="2" t="s">
        <v>19</v>
      </c>
      <c r="Y137" s="2" t="s">
        <v>26</v>
      </c>
      <c r="Z137" s="6">
        <v>12600</v>
      </c>
      <c r="AA137" s="7">
        <v>0</v>
      </c>
      <c r="AB137" s="7">
        <v>0</v>
      </c>
    </row>
    <row r="138" spans="24:28" x14ac:dyDescent="0.45">
      <c r="X138" s="2" t="s">
        <v>20</v>
      </c>
      <c r="Y138" s="2" t="s">
        <v>3</v>
      </c>
      <c r="Z138" s="6">
        <v>89200</v>
      </c>
      <c r="AA138" s="7">
        <v>0</v>
      </c>
      <c r="AB138" s="7">
        <v>0</v>
      </c>
    </row>
    <row r="139" spans="24:28" x14ac:dyDescent="0.45">
      <c r="X139" s="2" t="s">
        <v>20</v>
      </c>
      <c r="Y139" s="2" t="s">
        <v>12</v>
      </c>
      <c r="Z139" s="6">
        <v>50800</v>
      </c>
      <c r="AA139" s="7">
        <v>0</v>
      </c>
      <c r="AB139" s="7">
        <v>0</v>
      </c>
    </row>
    <row r="140" spans="24:28" x14ac:dyDescent="0.45">
      <c r="X140" s="2" t="s">
        <v>20</v>
      </c>
      <c r="Y140" s="2" t="s">
        <v>13</v>
      </c>
      <c r="Z140" s="6">
        <v>13600</v>
      </c>
      <c r="AA140" s="7">
        <v>1</v>
      </c>
      <c r="AB140" s="7">
        <v>1100</v>
      </c>
    </row>
    <row r="141" spans="24:28" x14ac:dyDescent="0.45">
      <c r="X141" s="2" t="s">
        <v>20</v>
      </c>
      <c r="Y141" s="2" t="s">
        <v>14</v>
      </c>
      <c r="Z141" s="6">
        <v>23300</v>
      </c>
      <c r="AA141" s="7">
        <v>0</v>
      </c>
      <c r="AB141" s="7">
        <v>0</v>
      </c>
    </row>
    <row r="142" spans="24:28" x14ac:dyDescent="0.45">
      <c r="X142" s="2" t="s">
        <v>20</v>
      </c>
      <c r="Y142" s="2" t="s">
        <v>15</v>
      </c>
      <c r="Z142" s="6">
        <v>9500</v>
      </c>
      <c r="AA142" s="7">
        <v>0</v>
      </c>
      <c r="AB142" s="7">
        <v>0</v>
      </c>
    </row>
    <row r="143" spans="24:28" x14ac:dyDescent="0.45">
      <c r="X143" s="2" t="s">
        <v>20</v>
      </c>
      <c r="Y143" s="2" t="s">
        <v>16</v>
      </c>
      <c r="Z143" s="6">
        <v>7300</v>
      </c>
      <c r="AA143" s="7">
        <v>0</v>
      </c>
      <c r="AB143" s="7">
        <v>0</v>
      </c>
    </row>
    <row r="144" spans="24:28" x14ac:dyDescent="0.45">
      <c r="X144" s="2" t="s">
        <v>20</v>
      </c>
      <c r="Y144" s="2" t="s">
        <v>17</v>
      </c>
      <c r="Z144" s="6">
        <v>13700</v>
      </c>
      <c r="AA144" s="7">
        <v>0</v>
      </c>
      <c r="AB144" s="7">
        <v>0</v>
      </c>
    </row>
    <row r="145" spans="24:28" x14ac:dyDescent="0.45">
      <c r="X145" s="2" t="s">
        <v>20</v>
      </c>
      <c r="Y145" s="2" t="s">
        <v>18</v>
      </c>
      <c r="Z145" s="6">
        <v>11000</v>
      </c>
      <c r="AA145" s="7">
        <v>0</v>
      </c>
      <c r="AB145" s="7">
        <v>0</v>
      </c>
    </row>
    <row r="146" spans="24:28" x14ac:dyDescent="0.45">
      <c r="X146" s="2" t="s">
        <v>20</v>
      </c>
      <c r="Y146" s="2" t="s">
        <v>19</v>
      </c>
      <c r="Z146" s="6">
        <v>6900</v>
      </c>
      <c r="AA146" s="7">
        <v>0</v>
      </c>
      <c r="AB146" s="7">
        <v>0</v>
      </c>
    </row>
    <row r="147" spans="24:28" x14ac:dyDescent="0.45">
      <c r="X147" s="2" t="s">
        <v>20</v>
      </c>
      <c r="Y147" s="2" t="s">
        <v>21</v>
      </c>
      <c r="Z147" s="6">
        <v>5200</v>
      </c>
      <c r="AA147" s="7">
        <v>0</v>
      </c>
      <c r="AB147" s="7">
        <v>0</v>
      </c>
    </row>
    <row r="148" spans="24:28" x14ac:dyDescent="0.45">
      <c r="X148" s="2" t="s">
        <v>20</v>
      </c>
      <c r="Y148" s="2" t="s">
        <v>22</v>
      </c>
      <c r="Z148" s="6">
        <v>19100</v>
      </c>
      <c r="AA148" s="7">
        <v>0</v>
      </c>
      <c r="AB148" s="7">
        <v>0</v>
      </c>
    </row>
    <row r="149" spans="24:28" x14ac:dyDescent="0.45">
      <c r="X149" s="2" t="s">
        <v>20</v>
      </c>
      <c r="Y149" s="2" t="s">
        <v>23</v>
      </c>
      <c r="Z149" s="6">
        <v>16100.000000000002</v>
      </c>
      <c r="AA149" s="7">
        <v>0</v>
      </c>
      <c r="AB149" s="7">
        <v>0</v>
      </c>
    </row>
    <row r="150" spans="24:28" x14ac:dyDescent="0.45">
      <c r="X150" s="2" t="s">
        <v>20</v>
      </c>
      <c r="Y150" s="2" t="s">
        <v>24</v>
      </c>
      <c r="Z150" s="6">
        <v>11500</v>
      </c>
      <c r="AA150" s="7">
        <v>0</v>
      </c>
      <c r="AB150" s="7">
        <v>0</v>
      </c>
    </row>
    <row r="151" spans="24:28" x14ac:dyDescent="0.45">
      <c r="X151" s="2" t="s">
        <v>20</v>
      </c>
      <c r="Y151" s="2" t="s">
        <v>25</v>
      </c>
      <c r="Z151" s="6">
        <v>15400</v>
      </c>
      <c r="AA151" s="7">
        <v>0</v>
      </c>
      <c r="AB151" s="7">
        <v>0</v>
      </c>
    </row>
    <row r="152" spans="24:28" x14ac:dyDescent="0.45">
      <c r="X152" s="2" t="s">
        <v>20</v>
      </c>
      <c r="Y152" s="2" t="s">
        <v>26</v>
      </c>
      <c r="Z152" s="6">
        <v>19000</v>
      </c>
      <c r="AA152" s="7">
        <v>0</v>
      </c>
      <c r="AB152" s="7">
        <v>0</v>
      </c>
    </row>
    <row r="153" spans="24:28" x14ac:dyDescent="0.45">
      <c r="X153" s="2" t="s">
        <v>21</v>
      </c>
      <c r="Y153" s="2" t="s">
        <v>3</v>
      </c>
      <c r="Z153" s="6">
        <v>85600</v>
      </c>
      <c r="AA153" s="7">
        <v>1</v>
      </c>
      <c r="AB153" s="7">
        <v>0</v>
      </c>
    </row>
    <row r="154" spans="24:28" x14ac:dyDescent="0.45">
      <c r="X154" s="2" t="s">
        <v>21</v>
      </c>
      <c r="Y154" s="2" t="s">
        <v>12</v>
      </c>
      <c r="Z154" s="6">
        <v>47300</v>
      </c>
      <c r="AA154" s="7">
        <v>0</v>
      </c>
      <c r="AB154" s="7">
        <v>0</v>
      </c>
    </row>
    <row r="155" spans="24:28" x14ac:dyDescent="0.45">
      <c r="X155" s="2" t="s">
        <v>21</v>
      </c>
      <c r="Y155" s="2" t="s">
        <v>13</v>
      </c>
      <c r="Z155" s="6">
        <v>15200</v>
      </c>
      <c r="AA155" s="7">
        <v>0</v>
      </c>
      <c r="AB155" s="7">
        <v>0</v>
      </c>
    </row>
    <row r="156" spans="24:28" x14ac:dyDescent="0.45">
      <c r="X156" s="2" t="s">
        <v>21</v>
      </c>
      <c r="Y156" s="2" t="s">
        <v>14</v>
      </c>
      <c r="Z156" s="6">
        <v>19700</v>
      </c>
      <c r="AA156" s="7">
        <v>0</v>
      </c>
      <c r="AB156" s="7">
        <v>0</v>
      </c>
    </row>
    <row r="157" spans="24:28" x14ac:dyDescent="0.45">
      <c r="X157" s="2" t="s">
        <v>21</v>
      </c>
      <c r="Y157" s="2" t="s">
        <v>15</v>
      </c>
      <c r="Z157" s="6">
        <v>8000</v>
      </c>
      <c r="AA157" s="7">
        <v>0</v>
      </c>
      <c r="AB157" s="7">
        <v>0</v>
      </c>
    </row>
    <row r="158" spans="24:28" x14ac:dyDescent="0.45">
      <c r="X158" s="2" t="s">
        <v>21</v>
      </c>
      <c r="Y158" s="2" t="s">
        <v>16</v>
      </c>
      <c r="Z158" s="6">
        <v>8900</v>
      </c>
      <c r="AA158" s="7">
        <v>0</v>
      </c>
      <c r="AB158" s="7">
        <v>0</v>
      </c>
    </row>
    <row r="159" spans="24:28" x14ac:dyDescent="0.45">
      <c r="X159" s="2" t="s">
        <v>21</v>
      </c>
      <c r="Y159" s="2" t="s">
        <v>17</v>
      </c>
      <c r="Z159" s="6">
        <v>15600</v>
      </c>
      <c r="AA159" s="7">
        <v>0</v>
      </c>
      <c r="AB159" s="7">
        <v>0</v>
      </c>
    </row>
    <row r="160" spans="24:28" x14ac:dyDescent="0.45">
      <c r="X160" s="2" t="s">
        <v>21</v>
      </c>
      <c r="Y160" s="2" t="s">
        <v>18</v>
      </c>
      <c r="Z160" s="6">
        <v>12900</v>
      </c>
      <c r="AA160" s="7">
        <v>0</v>
      </c>
      <c r="AB160" s="7">
        <v>0</v>
      </c>
    </row>
    <row r="161" spans="24:28" x14ac:dyDescent="0.45">
      <c r="X161" s="2" t="s">
        <v>21</v>
      </c>
      <c r="Y161" s="2" t="s">
        <v>19</v>
      </c>
      <c r="Z161" s="6">
        <v>13200</v>
      </c>
      <c r="AA161" s="7">
        <v>0</v>
      </c>
      <c r="AB161" s="7">
        <v>0</v>
      </c>
    </row>
    <row r="162" spans="24:28" x14ac:dyDescent="0.45">
      <c r="X162" s="2" t="s">
        <v>21</v>
      </c>
      <c r="Y162" s="2" t="s">
        <v>20</v>
      </c>
      <c r="Z162" s="6">
        <v>6700</v>
      </c>
      <c r="AA162" s="7">
        <v>0</v>
      </c>
      <c r="AB162" s="7">
        <v>0</v>
      </c>
    </row>
    <row r="163" spans="24:28" x14ac:dyDescent="0.45">
      <c r="X163" s="2" t="s">
        <v>21</v>
      </c>
      <c r="Y163" s="2" t="s">
        <v>22</v>
      </c>
      <c r="Z163" s="6">
        <v>15600</v>
      </c>
      <c r="AA163" s="7">
        <v>0</v>
      </c>
      <c r="AB163" s="7">
        <v>0</v>
      </c>
    </row>
    <row r="164" spans="24:28" x14ac:dyDescent="0.45">
      <c r="X164" s="2" t="s">
        <v>21</v>
      </c>
      <c r="Y164" s="2" t="s">
        <v>23</v>
      </c>
      <c r="Z164" s="6">
        <v>12600</v>
      </c>
      <c r="AA164" s="7">
        <v>0</v>
      </c>
      <c r="AB164" s="7">
        <v>0</v>
      </c>
    </row>
    <row r="165" spans="24:28" x14ac:dyDescent="0.45">
      <c r="X165" s="2" t="s">
        <v>21</v>
      </c>
      <c r="Y165" s="2" t="s">
        <v>24</v>
      </c>
      <c r="Z165" s="6">
        <v>13800</v>
      </c>
      <c r="AA165" s="7">
        <v>0</v>
      </c>
      <c r="AB165" s="7">
        <v>0</v>
      </c>
    </row>
    <row r="166" spans="24:28" x14ac:dyDescent="0.45">
      <c r="X166" s="2" t="s">
        <v>21</v>
      </c>
      <c r="Y166" s="2" t="s">
        <v>25</v>
      </c>
      <c r="Z166" s="6">
        <v>15700</v>
      </c>
      <c r="AA166" s="7">
        <v>0</v>
      </c>
      <c r="AB166" s="7">
        <v>0</v>
      </c>
    </row>
    <row r="167" spans="24:28" x14ac:dyDescent="0.45">
      <c r="X167" s="2" t="s">
        <v>21</v>
      </c>
      <c r="Y167" s="2" t="s">
        <v>26</v>
      </c>
      <c r="Z167" s="6">
        <v>20900</v>
      </c>
      <c r="AA167" s="7">
        <v>0</v>
      </c>
      <c r="AB167" s="7">
        <v>0</v>
      </c>
    </row>
    <row r="168" spans="24:28" x14ac:dyDescent="0.45">
      <c r="X168" s="2" t="s">
        <v>22</v>
      </c>
      <c r="Y168" s="2" t="s">
        <v>3</v>
      </c>
      <c r="Z168" s="6">
        <v>84500</v>
      </c>
      <c r="AA168" s="7">
        <v>0</v>
      </c>
      <c r="AB168" s="7">
        <v>0</v>
      </c>
    </row>
    <row r="169" spans="24:28" x14ac:dyDescent="0.45">
      <c r="X169" s="2" t="s">
        <v>22</v>
      </c>
      <c r="Y169" s="2" t="s">
        <v>12</v>
      </c>
      <c r="Z169" s="6">
        <v>46100</v>
      </c>
      <c r="AA169" s="7">
        <v>0</v>
      </c>
      <c r="AB169" s="7">
        <v>0</v>
      </c>
    </row>
    <row r="170" spans="24:28" x14ac:dyDescent="0.45">
      <c r="X170" s="2" t="s">
        <v>22</v>
      </c>
      <c r="Y170" s="2" t="s">
        <v>13</v>
      </c>
      <c r="Z170" s="6">
        <v>30800</v>
      </c>
      <c r="AA170" s="7">
        <v>0</v>
      </c>
      <c r="AB170" s="7">
        <v>0</v>
      </c>
    </row>
    <row r="171" spans="24:28" x14ac:dyDescent="0.45">
      <c r="X171" s="2" t="s">
        <v>22</v>
      </c>
      <c r="Y171" s="2" t="s">
        <v>14</v>
      </c>
      <c r="Z171" s="6">
        <v>29700</v>
      </c>
      <c r="AA171" s="7">
        <v>0</v>
      </c>
      <c r="AB171" s="7">
        <v>0</v>
      </c>
    </row>
    <row r="172" spans="24:28" x14ac:dyDescent="0.45">
      <c r="X172" s="2" t="s">
        <v>22</v>
      </c>
      <c r="Y172" s="2" t="s">
        <v>15</v>
      </c>
      <c r="Z172" s="6">
        <v>18800</v>
      </c>
      <c r="AA172" s="7">
        <v>0</v>
      </c>
      <c r="AB172" s="7">
        <v>0</v>
      </c>
    </row>
    <row r="173" spans="24:28" x14ac:dyDescent="0.45">
      <c r="X173" s="2" t="s">
        <v>22</v>
      </c>
      <c r="Y173" s="2" t="s">
        <v>16</v>
      </c>
      <c r="Z173" s="6">
        <v>24500</v>
      </c>
      <c r="AA173" s="7">
        <v>0</v>
      </c>
      <c r="AB173" s="7">
        <v>0</v>
      </c>
    </row>
    <row r="174" spans="24:28" x14ac:dyDescent="0.45">
      <c r="X174" s="2" t="s">
        <v>22</v>
      </c>
      <c r="Y174" s="2" t="s">
        <v>17</v>
      </c>
      <c r="Z174" s="6">
        <v>31200</v>
      </c>
      <c r="AA174" s="7">
        <v>0</v>
      </c>
      <c r="AB174" s="7">
        <v>0</v>
      </c>
    </row>
    <row r="175" spans="24:28" x14ac:dyDescent="0.45">
      <c r="X175" s="2" t="s">
        <v>22</v>
      </c>
      <c r="Y175" s="2" t="s">
        <v>18</v>
      </c>
      <c r="Z175" s="6">
        <v>28600</v>
      </c>
      <c r="AA175" s="7">
        <v>0</v>
      </c>
      <c r="AB175" s="7">
        <v>0</v>
      </c>
    </row>
    <row r="176" spans="24:28" x14ac:dyDescent="0.45">
      <c r="X176" s="2" t="s">
        <v>22</v>
      </c>
      <c r="Y176" s="2" t="s">
        <v>19</v>
      </c>
      <c r="Z176" s="6">
        <v>28900</v>
      </c>
      <c r="AA176" s="7">
        <v>0</v>
      </c>
      <c r="AB176" s="7">
        <v>0</v>
      </c>
    </row>
    <row r="177" spans="24:28" x14ac:dyDescent="0.45">
      <c r="X177" s="2" t="s">
        <v>22</v>
      </c>
      <c r="Y177" s="2" t="s">
        <v>20</v>
      </c>
      <c r="Z177" s="6">
        <v>22400</v>
      </c>
      <c r="AA177" s="7">
        <v>0</v>
      </c>
      <c r="AB177" s="7">
        <v>0</v>
      </c>
    </row>
    <row r="178" spans="24:28" x14ac:dyDescent="0.45">
      <c r="X178" s="2" t="s">
        <v>22</v>
      </c>
      <c r="Y178" s="2" t="s">
        <v>21</v>
      </c>
      <c r="Z178" s="6">
        <v>15700</v>
      </c>
      <c r="AA178" s="7">
        <v>1</v>
      </c>
      <c r="AB178" s="7">
        <v>2600</v>
      </c>
    </row>
    <row r="179" spans="24:28" x14ac:dyDescent="0.45">
      <c r="X179" s="2" t="s">
        <v>22</v>
      </c>
      <c r="Y179" s="2" t="s">
        <v>23</v>
      </c>
      <c r="Z179" s="6">
        <v>18500</v>
      </c>
      <c r="AA179" s="7">
        <v>0</v>
      </c>
      <c r="AB179" s="7">
        <v>0</v>
      </c>
    </row>
    <row r="180" spans="24:28" x14ac:dyDescent="0.45">
      <c r="X180" s="2" t="s">
        <v>22</v>
      </c>
      <c r="Y180" s="2" t="s">
        <v>24</v>
      </c>
      <c r="Z180" s="6">
        <v>29400</v>
      </c>
      <c r="AA180" s="7">
        <v>0</v>
      </c>
      <c r="AB180" s="7">
        <v>0</v>
      </c>
    </row>
    <row r="181" spans="24:28" x14ac:dyDescent="0.45">
      <c r="X181" s="2" t="s">
        <v>22</v>
      </c>
      <c r="Y181" s="2" t="s">
        <v>25</v>
      </c>
      <c r="Z181" s="6">
        <v>31400</v>
      </c>
      <c r="AA181" s="7">
        <v>0</v>
      </c>
      <c r="AB181" s="7">
        <v>0</v>
      </c>
    </row>
    <row r="182" spans="24:28" x14ac:dyDescent="0.45">
      <c r="X182" s="2" t="s">
        <v>22</v>
      </c>
      <c r="Y182" s="2" t="s">
        <v>26</v>
      </c>
      <c r="Z182" s="6">
        <v>48300</v>
      </c>
      <c r="AA182" s="7">
        <v>0</v>
      </c>
      <c r="AB182" s="7">
        <v>0</v>
      </c>
    </row>
    <row r="183" spans="24:28" x14ac:dyDescent="0.45">
      <c r="X183" s="2" t="s">
        <v>23</v>
      </c>
      <c r="Y183" s="2" t="s">
        <v>3</v>
      </c>
      <c r="Z183" s="6">
        <v>86800</v>
      </c>
      <c r="AA183" s="7">
        <v>1</v>
      </c>
      <c r="AB183" s="7">
        <v>0</v>
      </c>
    </row>
    <row r="184" spans="24:28" x14ac:dyDescent="0.45">
      <c r="X184" s="2" t="s">
        <v>23</v>
      </c>
      <c r="Y184" s="2" t="s">
        <v>12</v>
      </c>
      <c r="Z184" s="6">
        <v>48500</v>
      </c>
      <c r="AA184" s="7">
        <v>0</v>
      </c>
      <c r="AB184" s="7">
        <v>0</v>
      </c>
    </row>
    <row r="185" spans="24:28" x14ac:dyDescent="0.45">
      <c r="X185" s="2" t="s">
        <v>23</v>
      </c>
      <c r="Y185" s="2" t="s">
        <v>13</v>
      </c>
      <c r="Z185" s="6">
        <v>27100</v>
      </c>
      <c r="AA185" s="7">
        <v>0</v>
      </c>
      <c r="AB185" s="7">
        <v>0</v>
      </c>
    </row>
    <row r="186" spans="24:28" x14ac:dyDescent="0.45">
      <c r="X186" s="2" t="s">
        <v>23</v>
      </c>
      <c r="Y186" s="2" t="s">
        <v>14</v>
      </c>
      <c r="Z186" s="6">
        <v>20800</v>
      </c>
      <c r="AA186" s="7">
        <v>0</v>
      </c>
      <c r="AB186" s="7">
        <v>0</v>
      </c>
    </row>
    <row r="187" spans="24:28" x14ac:dyDescent="0.45">
      <c r="X187" s="2" t="s">
        <v>23</v>
      </c>
      <c r="Y187" s="2" t="s">
        <v>15</v>
      </c>
      <c r="Z187" s="6">
        <v>14900</v>
      </c>
      <c r="AA187" s="7">
        <v>0</v>
      </c>
      <c r="AB187" s="7">
        <v>0</v>
      </c>
    </row>
    <row r="188" spans="24:28" x14ac:dyDescent="0.45">
      <c r="X188" s="2" t="s">
        <v>23</v>
      </c>
      <c r="Y188" s="2" t="s">
        <v>16</v>
      </c>
      <c r="Z188" s="6">
        <v>20900</v>
      </c>
      <c r="AA188" s="7">
        <v>0</v>
      </c>
      <c r="AB188" s="7">
        <v>0</v>
      </c>
    </row>
    <row r="189" spans="24:28" x14ac:dyDescent="0.45">
      <c r="X189" s="2" t="s">
        <v>23</v>
      </c>
      <c r="Y189" s="2" t="s">
        <v>17</v>
      </c>
      <c r="Z189" s="6">
        <v>25300</v>
      </c>
      <c r="AA189" s="7">
        <v>0</v>
      </c>
      <c r="AB189" s="7">
        <v>0</v>
      </c>
    </row>
    <row r="190" spans="24:28" x14ac:dyDescent="0.45">
      <c r="X190" s="2" t="s">
        <v>23</v>
      </c>
      <c r="Y190" s="2" t="s">
        <v>18</v>
      </c>
      <c r="Z190" s="6">
        <v>22600</v>
      </c>
      <c r="AA190" s="7">
        <v>0</v>
      </c>
      <c r="AB190" s="7">
        <v>0</v>
      </c>
    </row>
    <row r="191" spans="24:28" x14ac:dyDescent="0.45">
      <c r="X191" s="2" t="s">
        <v>23</v>
      </c>
      <c r="Y191" s="2" t="s">
        <v>19</v>
      </c>
      <c r="Z191" s="6">
        <v>25200</v>
      </c>
      <c r="AA191" s="7">
        <v>0</v>
      </c>
      <c r="AB191" s="7">
        <v>0</v>
      </c>
    </row>
    <row r="192" spans="24:28" x14ac:dyDescent="0.45">
      <c r="X192" s="2" t="s">
        <v>23</v>
      </c>
      <c r="Y192" s="2" t="s">
        <v>20</v>
      </c>
      <c r="Z192" s="6">
        <v>18700</v>
      </c>
      <c r="AA192" s="7">
        <v>0</v>
      </c>
      <c r="AB192" s="7">
        <v>0</v>
      </c>
    </row>
    <row r="193" spans="24:28" x14ac:dyDescent="0.45">
      <c r="X193" s="2" t="s">
        <v>23</v>
      </c>
      <c r="Y193" s="2" t="s">
        <v>21</v>
      </c>
      <c r="Z193" s="6">
        <v>12000</v>
      </c>
      <c r="AA193" s="7">
        <v>0</v>
      </c>
      <c r="AB193" s="7">
        <v>0</v>
      </c>
    </row>
    <row r="194" spans="24:28" x14ac:dyDescent="0.45">
      <c r="X194" s="2" t="s">
        <v>23</v>
      </c>
      <c r="Y194" s="2" t="s">
        <v>22</v>
      </c>
      <c r="Z194" s="6">
        <v>16800</v>
      </c>
      <c r="AA194" s="7">
        <v>0</v>
      </c>
      <c r="AB194" s="7">
        <v>0</v>
      </c>
    </row>
    <row r="195" spans="24:28" x14ac:dyDescent="0.45">
      <c r="X195" s="2" t="s">
        <v>23</v>
      </c>
      <c r="Y195" s="2" t="s">
        <v>24</v>
      </c>
      <c r="Z195" s="6">
        <v>14500</v>
      </c>
      <c r="AA195" s="7">
        <v>0</v>
      </c>
      <c r="AB195" s="7">
        <v>0</v>
      </c>
    </row>
    <row r="196" spans="24:28" x14ac:dyDescent="0.45">
      <c r="X196" s="2" t="s">
        <v>23</v>
      </c>
      <c r="Y196" s="2" t="s">
        <v>25</v>
      </c>
      <c r="Z196" s="6">
        <v>19500</v>
      </c>
      <c r="AA196" s="7">
        <v>0</v>
      </c>
      <c r="AB196" s="7">
        <v>0</v>
      </c>
    </row>
    <row r="197" spans="24:28" x14ac:dyDescent="0.45">
      <c r="X197" s="2" t="s">
        <v>23</v>
      </c>
      <c r="Y197" s="2" t="s">
        <v>26</v>
      </c>
      <c r="Z197" s="6">
        <v>40300</v>
      </c>
      <c r="AA197" s="7">
        <v>0</v>
      </c>
      <c r="AB197" s="7">
        <v>0</v>
      </c>
    </row>
    <row r="198" spans="24:28" x14ac:dyDescent="0.45">
      <c r="X198" s="2" t="s">
        <v>24</v>
      </c>
      <c r="Y198" s="2" t="s">
        <v>3</v>
      </c>
      <c r="Z198" s="6">
        <v>108000</v>
      </c>
      <c r="AA198" s="7">
        <v>1</v>
      </c>
      <c r="AB198" s="7">
        <v>0</v>
      </c>
    </row>
    <row r="199" spans="24:28" x14ac:dyDescent="0.45">
      <c r="X199" s="2" t="s">
        <v>24</v>
      </c>
      <c r="Y199" s="2" t="s">
        <v>12</v>
      </c>
      <c r="Z199" s="6">
        <v>69300</v>
      </c>
      <c r="AA199" s="7">
        <v>0</v>
      </c>
      <c r="AB199" s="7">
        <v>0</v>
      </c>
    </row>
    <row r="200" spans="24:28" x14ac:dyDescent="0.45">
      <c r="X200" s="2" t="s">
        <v>24</v>
      </c>
      <c r="Y200" s="2" t="s">
        <v>13</v>
      </c>
      <c r="Z200" s="6">
        <v>24700</v>
      </c>
      <c r="AA200" s="7">
        <v>0</v>
      </c>
      <c r="AB200" s="7">
        <v>0</v>
      </c>
    </row>
    <row r="201" spans="24:28" x14ac:dyDescent="0.45">
      <c r="X201" s="2" t="s">
        <v>24</v>
      </c>
      <c r="Y201" s="2" t="s">
        <v>14</v>
      </c>
      <c r="Z201" s="6">
        <v>31900</v>
      </c>
      <c r="AA201" s="7">
        <v>0</v>
      </c>
      <c r="AB201" s="7">
        <v>0</v>
      </c>
    </row>
    <row r="202" spans="24:28" x14ac:dyDescent="0.45">
      <c r="X202" s="2" t="s">
        <v>24</v>
      </c>
      <c r="Y202" s="2" t="s">
        <v>15</v>
      </c>
      <c r="Z202" s="6">
        <v>19500</v>
      </c>
      <c r="AA202" s="7">
        <v>0</v>
      </c>
      <c r="AB202" s="7">
        <v>0</v>
      </c>
    </row>
    <row r="203" spans="24:28" x14ac:dyDescent="0.45">
      <c r="X203" s="2" t="s">
        <v>24</v>
      </c>
      <c r="Y203" s="2" t="s">
        <v>16</v>
      </c>
      <c r="Z203" s="6">
        <v>18400</v>
      </c>
      <c r="AA203" s="7">
        <v>0</v>
      </c>
      <c r="AB203" s="7">
        <v>0</v>
      </c>
    </row>
    <row r="204" spans="24:28" x14ac:dyDescent="0.45">
      <c r="X204" s="2" t="s">
        <v>24</v>
      </c>
      <c r="Y204" s="2" t="s">
        <v>17</v>
      </c>
      <c r="Z204" s="6">
        <v>20400</v>
      </c>
      <c r="AA204" s="7">
        <v>0</v>
      </c>
      <c r="AB204" s="7">
        <v>0</v>
      </c>
    </row>
    <row r="205" spans="24:28" x14ac:dyDescent="0.45">
      <c r="X205" s="2" t="s">
        <v>24</v>
      </c>
      <c r="Y205" s="2" t="s">
        <v>18</v>
      </c>
      <c r="Z205" s="6">
        <v>15000</v>
      </c>
      <c r="AA205" s="7">
        <v>0</v>
      </c>
      <c r="AB205" s="7">
        <v>0</v>
      </c>
    </row>
    <row r="206" spans="24:28" x14ac:dyDescent="0.45">
      <c r="X206" s="2" t="s">
        <v>24</v>
      </c>
      <c r="Y206" s="2" t="s">
        <v>19</v>
      </c>
      <c r="Z206" s="6">
        <v>17400</v>
      </c>
      <c r="AA206" s="7">
        <v>0</v>
      </c>
      <c r="AB206" s="7">
        <v>0</v>
      </c>
    </row>
    <row r="207" spans="24:28" x14ac:dyDescent="0.45">
      <c r="X207" s="2" t="s">
        <v>24</v>
      </c>
      <c r="Y207" s="2" t="s">
        <v>20</v>
      </c>
      <c r="Z207" s="6">
        <v>13700</v>
      </c>
      <c r="AA207" s="7">
        <v>0</v>
      </c>
      <c r="AB207" s="7">
        <v>0</v>
      </c>
    </row>
    <row r="208" spans="24:28" x14ac:dyDescent="0.45">
      <c r="X208" s="2" t="s">
        <v>24</v>
      </c>
      <c r="Y208" s="2" t="s">
        <v>21</v>
      </c>
      <c r="Z208" s="6">
        <v>14500</v>
      </c>
      <c r="AA208" s="7">
        <v>0</v>
      </c>
      <c r="AB208" s="7">
        <v>0</v>
      </c>
    </row>
    <row r="209" spans="24:28" x14ac:dyDescent="0.45">
      <c r="X209" s="2" t="s">
        <v>24</v>
      </c>
      <c r="Y209" s="2" t="s">
        <v>22</v>
      </c>
      <c r="Z209" s="6">
        <v>27800</v>
      </c>
      <c r="AA209" s="7">
        <v>0</v>
      </c>
      <c r="AB209" s="7">
        <v>0</v>
      </c>
    </row>
    <row r="210" spans="24:28" x14ac:dyDescent="0.45">
      <c r="X210" s="2" t="s">
        <v>24</v>
      </c>
      <c r="Y210" s="2" t="s">
        <v>23</v>
      </c>
      <c r="Z210" s="6">
        <v>12900</v>
      </c>
      <c r="AA210" s="7">
        <v>0</v>
      </c>
      <c r="AB210" s="7">
        <v>0</v>
      </c>
    </row>
    <row r="211" spans="24:28" x14ac:dyDescent="0.45">
      <c r="X211" s="2" t="s">
        <v>24</v>
      </c>
      <c r="Y211" s="2" t="s">
        <v>25</v>
      </c>
      <c r="Z211" s="6">
        <v>9500</v>
      </c>
      <c r="AA211" s="7">
        <v>0</v>
      </c>
      <c r="AB211" s="7">
        <v>0</v>
      </c>
    </row>
    <row r="212" spans="24:28" x14ac:dyDescent="0.45">
      <c r="X212" s="2" t="s">
        <v>24</v>
      </c>
      <c r="Y212" s="2" t="s">
        <v>26</v>
      </c>
      <c r="Z212" s="6">
        <v>18200</v>
      </c>
      <c r="AA212" s="7">
        <v>0</v>
      </c>
      <c r="AB212" s="7">
        <v>0</v>
      </c>
    </row>
    <row r="213" spans="24:28" x14ac:dyDescent="0.45">
      <c r="X213" s="2" t="s">
        <v>25</v>
      </c>
      <c r="Y213" s="2" t="s">
        <v>3</v>
      </c>
      <c r="Z213" s="6">
        <v>97200</v>
      </c>
      <c r="AA213" s="7">
        <v>0</v>
      </c>
      <c r="AB213" s="7">
        <v>0</v>
      </c>
    </row>
    <row r="214" spans="24:28" x14ac:dyDescent="0.45">
      <c r="X214" s="2" t="s">
        <v>25</v>
      </c>
      <c r="Y214" s="2" t="s">
        <v>12</v>
      </c>
      <c r="Z214" s="6">
        <v>58800</v>
      </c>
      <c r="AA214" s="7">
        <v>0</v>
      </c>
      <c r="AB214" s="7">
        <v>0</v>
      </c>
    </row>
    <row r="215" spans="24:28" x14ac:dyDescent="0.45">
      <c r="X215" s="2" t="s">
        <v>25</v>
      </c>
      <c r="Y215" s="2" t="s">
        <v>13</v>
      </c>
      <c r="Z215" s="6">
        <v>21400</v>
      </c>
      <c r="AA215" s="7">
        <v>0</v>
      </c>
      <c r="AB215" s="7">
        <v>0</v>
      </c>
    </row>
    <row r="216" spans="24:28" x14ac:dyDescent="0.45">
      <c r="X216" s="2" t="s">
        <v>25</v>
      </c>
      <c r="Y216" s="2" t="s">
        <v>14</v>
      </c>
      <c r="Z216" s="6">
        <v>34600</v>
      </c>
      <c r="AA216" s="7">
        <v>0</v>
      </c>
      <c r="AB216" s="7">
        <v>0</v>
      </c>
    </row>
    <row r="217" spans="24:28" x14ac:dyDescent="0.45">
      <c r="X217" s="2" t="s">
        <v>25</v>
      </c>
      <c r="Y217" s="2" t="s">
        <v>15</v>
      </c>
      <c r="Z217" s="6">
        <v>22900</v>
      </c>
      <c r="AA217" s="7">
        <v>1</v>
      </c>
      <c r="AB217" s="7">
        <v>1500</v>
      </c>
    </row>
    <row r="218" spans="24:28" x14ac:dyDescent="0.45">
      <c r="X218" s="2" t="s">
        <v>25</v>
      </c>
      <c r="Y218" s="2" t="s">
        <v>16</v>
      </c>
      <c r="Z218" s="6">
        <v>14500</v>
      </c>
      <c r="AA218" s="7">
        <v>0</v>
      </c>
      <c r="AB218" s="7">
        <v>0</v>
      </c>
    </row>
    <row r="219" spans="24:28" x14ac:dyDescent="0.45">
      <c r="X219" s="2" t="s">
        <v>25</v>
      </c>
      <c r="Y219" s="2" t="s">
        <v>17</v>
      </c>
      <c r="Z219" s="6">
        <v>14500</v>
      </c>
      <c r="AA219" s="7">
        <v>0</v>
      </c>
      <c r="AB219" s="7">
        <v>0</v>
      </c>
    </row>
    <row r="220" spans="24:28" x14ac:dyDescent="0.45">
      <c r="X220" s="2" t="s">
        <v>25</v>
      </c>
      <c r="Y220" s="2" t="s">
        <v>18</v>
      </c>
      <c r="Z220" s="6">
        <v>9000</v>
      </c>
      <c r="AA220" s="7">
        <v>0</v>
      </c>
      <c r="AB220" s="7">
        <v>0</v>
      </c>
    </row>
    <row r="221" spans="24:28" x14ac:dyDescent="0.45">
      <c r="X221" s="2" t="s">
        <v>25</v>
      </c>
      <c r="Y221" s="2" t="s">
        <v>19</v>
      </c>
      <c r="Z221" s="6">
        <v>10100</v>
      </c>
      <c r="AA221" s="7">
        <v>0</v>
      </c>
      <c r="AB221" s="7">
        <v>0</v>
      </c>
    </row>
    <row r="222" spans="24:28" x14ac:dyDescent="0.45">
      <c r="X222" s="2" t="s">
        <v>25</v>
      </c>
      <c r="Y222" s="2" t="s">
        <v>20</v>
      </c>
      <c r="Z222" s="6">
        <v>15600</v>
      </c>
      <c r="AA222" s="7">
        <v>0</v>
      </c>
      <c r="AB222" s="7">
        <v>0</v>
      </c>
    </row>
    <row r="223" spans="24:28" x14ac:dyDescent="0.45">
      <c r="X223" s="2" t="s">
        <v>25</v>
      </c>
      <c r="Y223" s="2" t="s">
        <v>21</v>
      </c>
      <c r="Z223" s="6">
        <v>16900</v>
      </c>
      <c r="AA223" s="7">
        <v>0</v>
      </c>
      <c r="AB223" s="7">
        <v>0</v>
      </c>
    </row>
    <row r="224" spans="24:28" x14ac:dyDescent="0.45">
      <c r="X224" s="2" t="s">
        <v>25</v>
      </c>
      <c r="Y224" s="2" t="s">
        <v>22</v>
      </c>
      <c r="Z224" s="6">
        <v>30400</v>
      </c>
      <c r="AA224" s="7">
        <v>0</v>
      </c>
      <c r="AB224" s="7">
        <v>0</v>
      </c>
    </row>
    <row r="225" spans="24:28" x14ac:dyDescent="0.45">
      <c r="X225" s="2" t="s">
        <v>25</v>
      </c>
      <c r="Y225" s="2" t="s">
        <v>23</v>
      </c>
      <c r="Z225" s="6">
        <v>18200</v>
      </c>
      <c r="AA225" s="7">
        <v>0</v>
      </c>
      <c r="AB225" s="7">
        <v>0</v>
      </c>
    </row>
    <row r="226" spans="24:28" x14ac:dyDescent="0.45">
      <c r="X226" s="2" t="s">
        <v>25</v>
      </c>
      <c r="Y226" s="2" t="s">
        <v>24</v>
      </c>
      <c r="Z226" s="6">
        <v>8600</v>
      </c>
      <c r="AA226" s="7">
        <v>0</v>
      </c>
      <c r="AB226" s="7">
        <v>0</v>
      </c>
    </row>
    <row r="227" spans="24:28" x14ac:dyDescent="0.45">
      <c r="X227" s="2" t="s">
        <v>25</v>
      </c>
      <c r="Y227" s="2" t="s">
        <v>26</v>
      </c>
      <c r="Z227" s="6">
        <v>5500</v>
      </c>
      <c r="AA227" s="7">
        <v>0</v>
      </c>
      <c r="AB227" s="7">
        <v>0</v>
      </c>
    </row>
    <row r="228" spans="24:28" x14ac:dyDescent="0.45">
      <c r="X228" s="2" t="s">
        <v>26</v>
      </c>
      <c r="Y228" s="2" t="s">
        <v>3</v>
      </c>
      <c r="Z228" s="6">
        <v>96300</v>
      </c>
      <c r="AA228" s="7">
        <v>1</v>
      </c>
      <c r="AB228" s="7">
        <v>0</v>
      </c>
    </row>
    <row r="229" spans="24:28" x14ac:dyDescent="0.45">
      <c r="X229" s="2" t="s">
        <v>26</v>
      </c>
      <c r="Y229" s="2" t="s">
        <v>12</v>
      </c>
      <c r="Z229" s="6">
        <v>57900</v>
      </c>
      <c r="AA229" s="7">
        <v>0</v>
      </c>
      <c r="AB229" s="7">
        <v>0</v>
      </c>
    </row>
    <row r="230" spans="24:28" x14ac:dyDescent="0.45">
      <c r="X230" s="2" t="s">
        <v>26</v>
      </c>
      <c r="Y230" s="2" t="s">
        <v>13</v>
      </c>
      <c r="Z230" s="6">
        <v>26200</v>
      </c>
      <c r="AA230" s="7">
        <v>0</v>
      </c>
      <c r="AB230" s="7">
        <v>0</v>
      </c>
    </row>
    <row r="231" spans="24:28" x14ac:dyDescent="0.45">
      <c r="X231" s="2" t="s">
        <v>26</v>
      </c>
      <c r="Y231" s="2" t="s">
        <v>14</v>
      </c>
      <c r="Z231" s="6">
        <v>59200</v>
      </c>
      <c r="AA231" s="7">
        <v>0</v>
      </c>
      <c r="AB231" s="7">
        <v>0</v>
      </c>
    </row>
    <row r="232" spans="24:28" x14ac:dyDescent="0.45">
      <c r="X232" s="2" t="s">
        <v>26</v>
      </c>
      <c r="Y232" s="2" t="s">
        <v>15</v>
      </c>
      <c r="Z232" s="6">
        <v>27800</v>
      </c>
      <c r="AA232" s="7">
        <v>0</v>
      </c>
      <c r="AB232" s="7">
        <v>0</v>
      </c>
    </row>
    <row r="233" spans="24:28" x14ac:dyDescent="0.45">
      <c r="X233" s="2" t="s">
        <v>26</v>
      </c>
      <c r="Y233" s="2" t="s">
        <v>16</v>
      </c>
      <c r="Z233" s="6">
        <v>19400</v>
      </c>
      <c r="AA233" s="7">
        <v>0</v>
      </c>
      <c r="AB233" s="7">
        <v>0</v>
      </c>
    </row>
    <row r="234" spans="24:28" x14ac:dyDescent="0.45">
      <c r="X234" s="2" t="s">
        <v>26</v>
      </c>
      <c r="Y234" s="2" t="s">
        <v>17</v>
      </c>
      <c r="Z234" s="6">
        <v>21800</v>
      </c>
      <c r="AA234" s="7">
        <v>0</v>
      </c>
      <c r="AB234" s="7">
        <v>0</v>
      </c>
    </row>
    <row r="235" spans="24:28" x14ac:dyDescent="0.45">
      <c r="X235" s="2" t="s">
        <v>26</v>
      </c>
      <c r="Y235" s="2" t="s">
        <v>18</v>
      </c>
      <c r="Z235" s="6">
        <v>15100</v>
      </c>
      <c r="AA235" s="7">
        <v>0</v>
      </c>
      <c r="AB235" s="7">
        <v>0</v>
      </c>
    </row>
    <row r="236" spans="24:28" x14ac:dyDescent="0.45">
      <c r="X236" s="2" t="s">
        <v>26</v>
      </c>
      <c r="Y236" s="2" t="s">
        <v>19</v>
      </c>
      <c r="Z236" s="6">
        <v>15100</v>
      </c>
      <c r="AA236" s="7">
        <v>0</v>
      </c>
      <c r="AB236" s="7">
        <v>0</v>
      </c>
    </row>
    <row r="237" spans="24:28" x14ac:dyDescent="0.45">
      <c r="X237" s="2" t="s">
        <v>26</v>
      </c>
      <c r="Y237" s="2" t="s">
        <v>20</v>
      </c>
      <c r="Z237" s="6">
        <v>20500</v>
      </c>
      <c r="AA237" s="7">
        <v>0</v>
      </c>
      <c r="AB237" s="7">
        <v>0</v>
      </c>
    </row>
    <row r="238" spans="24:28" x14ac:dyDescent="0.45">
      <c r="X238" s="2" t="s">
        <v>26</v>
      </c>
      <c r="Y238" s="2" t="s">
        <v>21</v>
      </c>
      <c r="Z238" s="6">
        <v>21800</v>
      </c>
      <c r="AA238" s="7">
        <v>0</v>
      </c>
      <c r="AB238" s="7">
        <v>0</v>
      </c>
    </row>
    <row r="239" spans="24:28" x14ac:dyDescent="0.45">
      <c r="X239" s="2" t="s">
        <v>26</v>
      </c>
      <c r="Y239" s="2" t="s">
        <v>22</v>
      </c>
      <c r="Z239" s="6">
        <v>46200</v>
      </c>
      <c r="AA239" s="7">
        <v>0</v>
      </c>
      <c r="AB239" s="7">
        <v>0</v>
      </c>
    </row>
    <row r="240" spans="24:28" x14ac:dyDescent="0.45">
      <c r="X240" s="2" t="s">
        <v>26</v>
      </c>
      <c r="Y240" s="2" t="s">
        <v>23</v>
      </c>
      <c r="Z240" s="6">
        <v>35500</v>
      </c>
      <c r="AA240" s="7">
        <v>0</v>
      </c>
      <c r="AB240" s="7">
        <v>0</v>
      </c>
    </row>
    <row r="241" spans="24:30" x14ac:dyDescent="0.45">
      <c r="X241" s="2" t="s">
        <v>26</v>
      </c>
      <c r="Y241" s="2" t="s">
        <v>24</v>
      </c>
      <c r="Z241" s="6">
        <v>12800</v>
      </c>
      <c r="AA241" s="7">
        <v>0</v>
      </c>
      <c r="AB241" s="7">
        <v>0</v>
      </c>
    </row>
    <row r="242" spans="24:30" x14ac:dyDescent="0.45">
      <c r="X242" s="2" t="s">
        <v>26</v>
      </c>
      <c r="Y242" s="2" t="s">
        <v>25</v>
      </c>
      <c r="Z242" s="6">
        <v>7800</v>
      </c>
      <c r="AA242" s="7">
        <v>0</v>
      </c>
      <c r="AB242" s="7">
        <v>0</v>
      </c>
    </row>
    <row r="244" spans="24:30" x14ac:dyDescent="0.45">
      <c r="AC244" s="19"/>
      <c r="AD244" s="19"/>
    </row>
    <row r="245" spans="24:30" x14ac:dyDescent="0.45">
      <c r="AC245" s="19"/>
      <c r="AD245" s="1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42"/>
  <sheetViews>
    <sheetView tabSelected="1" workbookViewId="0">
      <selection activeCell="H20" sqref="H20"/>
    </sheetView>
  </sheetViews>
  <sheetFormatPr defaultRowHeight="14.25" x14ac:dyDescent="0.45"/>
  <cols>
    <col min="2" max="4" width="9.06640625" style="4"/>
    <col min="5" max="5" width="11.796875" style="4" bestFit="1" customWidth="1"/>
    <col min="6" max="10" width="9.06640625" style="4"/>
    <col min="11" max="11" width="11.33203125" style="4" customWidth="1"/>
    <col min="12" max="13" width="9.06640625" style="4"/>
    <col min="14" max="14" width="22.33203125" style="4" bestFit="1" customWidth="1"/>
    <col min="15" max="30" width="9.06640625" style="4"/>
    <col min="37" max="37" width="16.59765625" bestFit="1" customWidth="1"/>
  </cols>
  <sheetData>
    <row r="2" spans="2:36" x14ac:dyDescent="0.45">
      <c r="B2" s="5" t="s">
        <v>66</v>
      </c>
      <c r="C2" s="2">
        <v>110</v>
      </c>
      <c r="E2" s="20" t="s">
        <v>67</v>
      </c>
      <c r="F2" s="2">
        <v>0</v>
      </c>
      <c r="H2" s="5" t="s">
        <v>33</v>
      </c>
      <c r="I2" s="21">
        <v>1.27</v>
      </c>
      <c r="N2" s="3" t="s">
        <v>2</v>
      </c>
      <c r="O2" s="2" t="s">
        <v>3</v>
      </c>
      <c r="AF2" s="5" t="s">
        <v>4</v>
      </c>
      <c r="AG2" s="5" t="s">
        <v>5</v>
      </c>
      <c r="AH2" s="5" t="s">
        <v>68</v>
      </c>
      <c r="AI2" s="5" t="s">
        <v>7</v>
      </c>
      <c r="AJ2" s="5" t="s">
        <v>8</v>
      </c>
    </row>
    <row r="3" spans="2:36" x14ac:dyDescent="0.45">
      <c r="B3" s="5" t="s">
        <v>69</v>
      </c>
      <c r="C3" s="2">
        <v>0</v>
      </c>
      <c r="H3" s="5" t="s">
        <v>46</v>
      </c>
      <c r="I3" s="21">
        <v>6.1400000000000003E-2</v>
      </c>
      <c r="N3" s="3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F3" s="2" t="s">
        <v>3</v>
      </c>
      <c r="AG3" s="2" t="s">
        <v>12</v>
      </c>
      <c r="AH3" s="2">
        <v>40.4</v>
      </c>
      <c r="AI3" s="7">
        <v>1</v>
      </c>
      <c r="AJ3" s="7">
        <v>2900</v>
      </c>
    </row>
    <row r="4" spans="2:36" x14ac:dyDescent="0.45">
      <c r="B4" s="5" t="s">
        <v>70</v>
      </c>
      <c r="C4" s="2">
        <v>0</v>
      </c>
      <c r="H4" s="5" t="s">
        <v>53</v>
      </c>
      <c r="I4" s="21">
        <v>0</v>
      </c>
      <c r="N4" s="3" t="s">
        <v>29</v>
      </c>
      <c r="O4" s="2" t="s">
        <v>3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F4" s="2" t="s">
        <v>3</v>
      </c>
      <c r="AG4" s="2" t="s">
        <v>13</v>
      </c>
      <c r="AH4" s="2">
        <v>62.2</v>
      </c>
      <c r="AI4" s="7">
        <v>0</v>
      </c>
      <c r="AJ4" s="7">
        <v>0</v>
      </c>
    </row>
    <row r="5" spans="2:36" x14ac:dyDescent="0.45">
      <c r="B5" s="5" t="s">
        <v>71</v>
      </c>
      <c r="C5" s="21">
        <v>3.7500000000000001E-4</v>
      </c>
      <c r="H5" s="5" t="s">
        <v>72</v>
      </c>
      <c r="I5" s="21">
        <v>-1.1000000000000001E-3</v>
      </c>
      <c r="AF5" s="2" t="s">
        <v>3</v>
      </c>
      <c r="AG5" s="2" t="s">
        <v>14</v>
      </c>
      <c r="AH5" s="2">
        <v>58</v>
      </c>
      <c r="AI5" s="7">
        <v>1</v>
      </c>
      <c r="AJ5" s="7">
        <v>2800</v>
      </c>
    </row>
    <row r="6" spans="2:36" x14ac:dyDescent="0.45">
      <c r="B6" s="5" t="s">
        <v>73</v>
      </c>
      <c r="C6" s="2">
        <v>8702</v>
      </c>
      <c r="H6" s="5" t="s">
        <v>74</v>
      </c>
      <c r="I6" s="21">
        <v>-2.3500000000000001E-3</v>
      </c>
      <c r="N6"/>
      <c r="AD6" s="5" t="s">
        <v>89</v>
      </c>
      <c r="AF6" s="2" t="s">
        <v>3</v>
      </c>
      <c r="AG6" s="2" t="s">
        <v>15</v>
      </c>
      <c r="AH6" s="2">
        <v>66.400000000000006</v>
      </c>
      <c r="AI6" s="7">
        <v>0</v>
      </c>
      <c r="AJ6" s="7">
        <v>0</v>
      </c>
    </row>
    <row r="7" spans="2:36" x14ac:dyDescent="0.45">
      <c r="B7" s="5" t="s">
        <v>75</v>
      </c>
      <c r="C7" s="2">
        <v>0</v>
      </c>
      <c r="H7" s="5" t="s">
        <v>76</v>
      </c>
      <c r="I7" s="21">
        <v>0</v>
      </c>
      <c r="N7" s="10" t="s">
        <v>35</v>
      </c>
      <c r="O7" s="6">
        <v>2900</v>
      </c>
      <c r="P7" s="6">
        <v>1100</v>
      </c>
      <c r="Q7" s="6">
        <v>2800</v>
      </c>
      <c r="R7" s="6">
        <v>1500</v>
      </c>
      <c r="S7" s="6">
        <v>3000</v>
      </c>
      <c r="T7" s="6">
        <v>2500</v>
      </c>
      <c r="U7" s="6">
        <v>2800</v>
      </c>
      <c r="V7" s="6">
        <v>3000</v>
      </c>
      <c r="W7" s="6">
        <v>2900</v>
      </c>
      <c r="X7" s="6">
        <v>2600</v>
      </c>
      <c r="Y7" s="6">
        <v>1400</v>
      </c>
      <c r="Z7" s="11">
        <v>2700</v>
      </c>
      <c r="AA7" s="11">
        <v>3000</v>
      </c>
      <c r="AB7" s="11">
        <v>1800</v>
      </c>
      <c r="AC7" s="11">
        <v>3000</v>
      </c>
      <c r="AD7" s="12">
        <f>SUM(demand)</f>
        <v>37000</v>
      </c>
      <c r="AF7" s="2" t="s">
        <v>3</v>
      </c>
      <c r="AG7" s="2" t="s">
        <v>16</v>
      </c>
      <c r="AH7" s="2">
        <v>64.400000000000006</v>
      </c>
      <c r="AI7" s="7">
        <v>1</v>
      </c>
      <c r="AJ7" s="7">
        <v>3000</v>
      </c>
    </row>
    <row r="8" spans="2:36" x14ac:dyDescent="0.45">
      <c r="B8" s="5" t="s">
        <v>77</v>
      </c>
      <c r="C8" s="2">
        <v>0</v>
      </c>
      <c r="H8" s="5" t="s">
        <v>78</v>
      </c>
      <c r="I8" s="21">
        <v>0</v>
      </c>
      <c r="N8"/>
      <c r="AF8" s="2" t="s">
        <v>3</v>
      </c>
      <c r="AG8" s="2" t="s">
        <v>17</v>
      </c>
      <c r="AH8" s="2">
        <v>79.099999999999994</v>
      </c>
      <c r="AI8" s="7">
        <v>1</v>
      </c>
      <c r="AJ8" s="7">
        <v>2500</v>
      </c>
    </row>
    <row r="9" spans="2:36" x14ac:dyDescent="0.45">
      <c r="H9" s="5" t="s">
        <v>79</v>
      </c>
      <c r="I9" s="21">
        <v>-1.33</v>
      </c>
      <c r="N9" s="13" t="s">
        <v>40</v>
      </c>
      <c r="O9" s="6">
        <v>4000</v>
      </c>
      <c r="Q9" s="4" t="s">
        <v>90</v>
      </c>
      <c r="AF9" s="2" t="s">
        <v>3</v>
      </c>
      <c r="AG9" s="2" t="s">
        <v>18</v>
      </c>
      <c r="AH9" s="2">
        <v>82.7</v>
      </c>
      <c r="AI9" s="7">
        <v>1</v>
      </c>
      <c r="AJ9" s="7">
        <v>2800</v>
      </c>
    </row>
    <row r="10" spans="2:36" x14ac:dyDescent="0.45">
      <c r="B10" s="5" t="s">
        <v>80</v>
      </c>
      <c r="C10" s="2">
        <v>60</v>
      </c>
      <c r="N10" s="13" t="s">
        <v>43</v>
      </c>
      <c r="O10" s="2">
        <v>13</v>
      </c>
      <c r="Q10" s="15">
        <f>vehicle_capacity*vehicle_number</f>
        <v>52000</v>
      </c>
      <c r="AF10" s="2" t="s">
        <v>3</v>
      </c>
      <c r="AG10" s="2" t="s">
        <v>19</v>
      </c>
      <c r="AH10" s="2">
        <v>68.7</v>
      </c>
      <c r="AI10" s="7">
        <v>1</v>
      </c>
      <c r="AJ10" s="7">
        <v>3000</v>
      </c>
    </row>
    <row r="11" spans="2:36" x14ac:dyDescent="0.45">
      <c r="AF11" s="2" t="s">
        <v>3</v>
      </c>
      <c r="AG11" s="2" t="s">
        <v>20</v>
      </c>
      <c r="AH11" s="2">
        <v>67.400000000000006</v>
      </c>
      <c r="AI11" s="7">
        <v>1</v>
      </c>
      <c r="AJ11" s="7">
        <v>4000</v>
      </c>
    </row>
    <row r="12" spans="2:36" x14ac:dyDescent="0.45">
      <c r="B12" s="22" t="s">
        <v>81</v>
      </c>
      <c r="C12" s="2">
        <f>(C2)+(C3*C10)+(C4*C10^2)+(C5*C10^3)+(C6/C10)+(C7/C10^2)+(C8/C10^3)</f>
        <v>336.0333333333333</v>
      </c>
      <c r="H12" s="22" t="s">
        <v>82</v>
      </c>
      <c r="I12" s="2">
        <f>(I2)+(I3*F2)+(I4*F2^2)+(I5*F2^3)+(I6*C10)+(I7*C10^2)+(I8*C10^3)+(I9/C10)</f>
        <v>1.1068333333333333</v>
      </c>
      <c r="K12" s="22" t="s">
        <v>83</v>
      </c>
      <c r="L12" s="2">
        <f>C12*I12</f>
        <v>371.9328944444444</v>
      </c>
      <c r="AF12" s="2" t="s">
        <v>3</v>
      </c>
      <c r="AG12" s="2" t="s">
        <v>21</v>
      </c>
      <c r="AH12" s="2">
        <v>82.2</v>
      </c>
      <c r="AI12" s="7">
        <v>0</v>
      </c>
      <c r="AJ12" s="7">
        <v>0</v>
      </c>
    </row>
    <row r="13" spans="2:36" x14ac:dyDescent="0.45">
      <c r="N13" s="23" t="s">
        <v>84</v>
      </c>
      <c r="O13" s="2">
        <v>682124.928411111</v>
      </c>
      <c r="AF13" s="2" t="s">
        <v>3</v>
      </c>
      <c r="AG13" s="2" t="s">
        <v>22</v>
      </c>
      <c r="AH13" s="2">
        <v>79.8</v>
      </c>
      <c r="AI13" s="7">
        <v>1</v>
      </c>
      <c r="AJ13" s="7">
        <v>4000</v>
      </c>
    </row>
    <row r="14" spans="2:36" x14ac:dyDescent="0.45">
      <c r="N14" s="23" t="s">
        <v>85</v>
      </c>
      <c r="O14" s="2">
        <f>total_emission/1000</f>
        <v>682.124928411111</v>
      </c>
      <c r="AF14" s="2" t="s">
        <v>3</v>
      </c>
      <c r="AG14" s="2" t="s">
        <v>23</v>
      </c>
      <c r="AH14" s="2">
        <v>86.6</v>
      </c>
      <c r="AI14" s="7">
        <v>1</v>
      </c>
      <c r="AJ14" s="7">
        <v>2700</v>
      </c>
    </row>
    <row r="15" spans="2:36" x14ac:dyDescent="0.45">
      <c r="N15" s="24" t="s">
        <v>86</v>
      </c>
      <c r="O15" s="17">
        <f>O14/2.757</f>
        <v>247.41564323943089</v>
      </c>
      <c r="AF15" s="2" t="s">
        <v>3</v>
      </c>
      <c r="AG15" s="2" t="s">
        <v>24</v>
      </c>
      <c r="AH15" s="2">
        <v>78</v>
      </c>
      <c r="AI15" s="7">
        <v>1</v>
      </c>
      <c r="AJ15" s="7">
        <v>3000</v>
      </c>
    </row>
    <row r="16" spans="2:36" x14ac:dyDescent="0.45">
      <c r="AF16" s="2" t="s">
        <v>3</v>
      </c>
      <c r="AG16" s="2" t="s">
        <v>25</v>
      </c>
      <c r="AH16" s="2">
        <v>76.099999999999994</v>
      </c>
      <c r="AI16" s="7">
        <v>1</v>
      </c>
      <c r="AJ16" s="7">
        <v>3300</v>
      </c>
    </row>
    <row r="17" spans="14:36" x14ac:dyDescent="0.45">
      <c r="N17" s="30" t="s">
        <v>87</v>
      </c>
      <c r="O17" s="31"/>
      <c r="AF17" s="2" t="s">
        <v>3</v>
      </c>
      <c r="AG17" s="2" t="s">
        <v>26</v>
      </c>
      <c r="AH17" s="2">
        <v>98.7</v>
      </c>
      <c r="AI17" s="7">
        <v>1</v>
      </c>
      <c r="AJ17" s="7">
        <v>3000</v>
      </c>
    </row>
    <row r="18" spans="14:36" x14ac:dyDescent="0.45">
      <c r="N18" s="31"/>
      <c r="O18" s="31"/>
      <c r="AF18" s="2" t="s">
        <v>12</v>
      </c>
      <c r="AG18" s="2" t="s">
        <v>3</v>
      </c>
      <c r="AH18" s="2">
        <v>38.4</v>
      </c>
      <c r="AI18" s="7">
        <v>1</v>
      </c>
      <c r="AJ18" s="7">
        <v>0</v>
      </c>
    </row>
    <row r="19" spans="14:36" x14ac:dyDescent="0.45">
      <c r="N19" s="31"/>
      <c r="O19" s="31"/>
      <c r="AF19" s="2" t="s">
        <v>12</v>
      </c>
      <c r="AG19" s="2" t="s">
        <v>13</v>
      </c>
      <c r="AH19" s="2">
        <v>28.1</v>
      </c>
      <c r="AI19" s="7">
        <v>0</v>
      </c>
      <c r="AJ19" s="7">
        <v>0</v>
      </c>
    </row>
    <row r="20" spans="14:36" x14ac:dyDescent="0.45">
      <c r="N20" s="31"/>
      <c r="O20" s="31"/>
      <c r="AF20" s="2" t="s">
        <v>12</v>
      </c>
      <c r="AG20" s="2" t="s">
        <v>14</v>
      </c>
      <c r="AH20" s="2">
        <v>23.9</v>
      </c>
      <c r="AI20" s="7">
        <v>0</v>
      </c>
      <c r="AJ20" s="7">
        <v>0</v>
      </c>
    </row>
    <row r="21" spans="14:36" x14ac:dyDescent="0.45">
      <c r="AF21" s="2" t="s">
        <v>12</v>
      </c>
      <c r="AG21" s="2" t="s">
        <v>15</v>
      </c>
      <c r="AH21" s="2">
        <v>32.299999999999997</v>
      </c>
      <c r="AI21" s="7">
        <v>0</v>
      </c>
      <c r="AJ21" s="7">
        <v>0</v>
      </c>
    </row>
    <row r="22" spans="14:36" x14ac:dyDescent="0.45">
      <c r="AF22" s="2" t="s">
        <v>12</v>
      </c>
      <c r="AG22" s="2" t="s">
        <v>16</v>
      </c>
      <c r="AH22" s="2">
        <v>30.4</v>
      </c>
      <c r="AI22" s="7">
        <v>0</v>
      </c>
      <c r="AJ22" s="7">
        <v>0</v>
      </c>
    </row>
    <row r="23" spans="14:36" x14ac:dyDescent="0.45">
      <c r="AF23" s="2" t="s">
        <v>12</v>
      </c>
      <c r="AG23" s="2" t="s">
        <v>17</v>
      </c>
      <c r="AH23" s="2">
        <v>45</v>
      </c>
      <c r="AI23" s="7">
        <v>0</v>
      </c>
      <c r="AJ23" s="7">
        <v>0</v>
      </c>
    </row>
    <row r="24" spans="14:36" x14ac:dyDescent="0.45">
      <c r="AF24" s="2" t="s">
        <v>12</v>
      </c>
      <c r="AG24" s="2" t="s">
        <v>18</v>
      </c>
      <c r="AH24" s="2">
        <v>48.6</v>
      </c>
      <c r="AI24" s="7">
        <v>0</v>
      </c>
      <c r="AJ24" s="7">
        <v>0</v>
      </c>
    </row>
    <row r="25" spans="14:36" x14ac:dyDescent="0.45">
      <c r="AF25" s="2" t="s">
        <v>12</v>
      </c>
      <c r="AG25" s="2" t="s">
        <v>19</v>
      </c>
      <c r="AH25" s="2">
        <v>34.6</v>
      </c>
      <c r="AI25" s="7">
        <v>0</v>
      </c>
      <c r="AJ25" s="7">
        <v>0</v>
      </c>
    </row>
    <row r="26" spans="14:36" x14ac:dyDescent="0.45">
      <c r="AF26" s="2" t="s">
        <v>12</v>
      </c>
      <c r="AG26" s="2" t="s">
        <v>20</v>
      </c>
      <c r="AH26" s="2">
        <v>33.299999999999997</v>
      </c>
      <c r="AI26" s="7">
        <v>0</v>
      </c>
      <c r="AJ26" s="7">
        <v>0</v>
      </c>
    </row>
    <row r="27" spans="14:36" x14ac:dyDescent="0.45">
      <c r="AF27" s="2" t="s">
        <v>12</v>
      </c>
      <c r="AG27" s="2" t="s">
        <v>21</v>
      </c>
      <c r="AH27" s="2">
        <v>48.1</v>
      </c>
      <c r="AI27" s="7">
        <v>0</v>
      </c>
      <c r="AJ27" s="7">
        <v>0</v>
      </c>
    </row>
    <row r="28" spans="14:36" x14ac:dyDescent="0.45">
      <c r="AF28" s="2" t="s">
        <v>12</v>
      </c>
      <c r="AG28" s="2" t="s">
        <v>22</v>
      </c>
      <c r="AH28" s="2">
        <v>45.7</v>
      </c>
      <c r="AI28" s="7">
        <v>0</v>
      </c>
      <c r="AJ28" s="7">
        <v>0</v>
      </c>
    </row>
    <row r="29" spans="14:36" x14ac:dyDescent="0.45">
      <c r="AF29" s="2" t="s">
        <v>12</v>
      </c>
      <c r="AG29" s="2" t="s">
        <v>23</v>
      </c>
      <c r="AH29" s="2">
        <v>52.6</v>
      </c>
      <c r="AI29" s="7">
        <v>0</v>
      </c>
      <c r="AJ29" s="7">
        <v>0</v>
      </c>
    </row>
    <row r="30" spans="14:36" x14ac:dyDescent="0.45">
      <c r="AF30" s="2" t="s">
        <v>12</v>
      </c>
      <c r="AG30" s="2" t="s">
        <v>24</v>
      </c>
      <c r="AH30" s="2">
        <v>45.9</v>
      </c>
      <c r="AI30" s="7">
        <v>0</v>
      </c>
      <c r="AJ30" s="7">
        <v>0</v>
      </c>
    </row>
    <row r="31" spans="14:36" x14ac:dyDescent="0.45">
      <c r="AF31" s="2" t="s">
        <v>12</v>
      </c>
      <c r="AG31" s="2" t="s">
        <v>25</v>
      </c>
      <c r="AH31" s="2">
        <v>42</v>
      </c>
      <c r="AI31" s="7">
        <v>0</v>
      </c>
      <c r="AJ31" s="7">
        <v>0</v>
      </c>
    </row>
    <row r="32" spans="14:36" x14ac:dyDescent="0.45">
      <c r="AF32" s="2" t="s">
        <v>12</v>
      </c>
      <c r="AG32" s="2" t="s">
        <v>26</v>
      </c>
      <c r="AH32" s="2">
        <v>64.599999999999994</v>
      </c>
      <c r="AI32" s="7">
        <v>0</v>
      </c>
      <c r="AJ32" s="7">
        <v>0</v>
      </c>
    </row>
    <row r="33" spans="32:36" x14ac:dyDescent="0.45">
      <c r="AF33" s="2" t="s">
        <v>13</v>
      </c>
      <c r="AG33" s="2" t="s">
        <v>3</v>
      </c>
      <c r="AH33" s="2">
        <v>69.7</v>
      </c>
      <c r="AI33" s="7">
        <v>1</v>
      </c>
      <c r="AJ33" s="7">
        <v>0</v>
      </c>
    </row>
    <row r="34" spans="32:36" x14ac:dyDescent="0.45">
      <c r="AF34" s="2" t="s">
        <v>13</v>
      </c>
      <c r="AG34" s="2" t="s">
        <v>12</v>
      </c>
      <c r="AH34" s="2">
        <v>31.3</v>
      </c>
      <c r="AI34" s="7">
        <v>0</v>
      </c>
      <c r="AJ34" s="7">
        <v>0</v>
      </c>
    </row>
    <row r="35" spans="32:36" x14ac:dyDescent="0.45">
      <c r="AF35" s="2" t="s">
        <v>13</v>
      </c>
      <c r="AG35" s="2" t="s">
        <v>14</v>
      </c>
      <c r="AH35" s="2">
        <v>31.9</v>
      </c>
      <c r="AI35" s="7">
        <v>0</v>
      </c>
      <c r="AJ35" s="7">
        <v>0</v>
      </c>
    </row>
    <row r="36" spans="32:36" x14ac:dyDescent="0.45">
      <c r="AF36" s="2" t="s">
        <v>13</v>
      </c>
      <c r="AG36" s="2" t="s">
        <v>15</v>
      </c>
      <c r="AH36" s="2">
        <v>18.2</v>
      </c>
      <c r="AI36" s="7">
        <v>0</v>
      </c>
      <c r="AJ36" s="7">
        <v>0</v>
      </c>
    </row>
    <row r="37" spans="32:36" x14ac:dyDescent="0.45">
      <c r="AF37" s="2" t="s">
        <v>13</v>
      </c>
      <c r="AG37" s="2" t="s">
        <v>16</v>
      </c>
      <c r="AH37" s="2">
        <v>10.5</v>
      </c>
      <c r="AI37" s="7">
        <v>0</v>
      </c>
      <c r="AJ37" s="7">
        <v>0</v>
      </c>
    </row>
    <row r="38" spans="32:36" x14ac:dyDescent="0.45">
      <c r="AF38" s="2" t="s">
        <v>13</v>
      </c>
      <c r="AG38" s="2" t="s">
        <v>17</v>
      </c>
      <c r="AH38" s="2">
        <v>21.1</v>
      </c>
      <c r="AI38" s="7">
        <v>0</v>
      </c>
      <c r="AJ38" s="7">
        <v>0</v>
      </c>
    </row>
    <row r="39" spans="32:36" x14ac:dyDescent="0.45">
      <c r="AF39" s="2" t="s">
        <v>13</v>
      </c>
      <c r="AG39" s="2" t="s">
        <v>18</v>
      </c>
      <c r="AH39" s="2">
        <v>24.7</v>
      </c>
      <c r="AI39" s="7">
        <v>0</v>
      </c>
      <c r="AJ39" s="7">
        <v>0</v>
      </c>
    </row>
    <row r="40" spans="32:36" x14ac:dyDescent="0.45">
      <c r="AF40" s="2" t="s">
        <v>13</v>
      </c>
      <c r="AG40" s="2" t="s">
        <v>19</v>
      </c>
      <c r="AH40" s="2">
        <v>14.7</v>
      </c>
      <c r="AI40" s="7">
        <v>0</v>
      </c>
      <c r="AJ40" s="7">
        <v>0</v>
      </c>
    </row>
    <row r="41" spans="32:36" x14ac:dyDescent="0.45">
      <c r="AF41" s="2" t="s">
        <v>13</v>
      </c>
      <c r="AG41" s="2" t="s">
        <v>20</v>
      </c>
      <c r="AH41" s="2">
        <v>13.4</v>
      </c>
      <c r="AI41" s="7">
        <v>0</v>
      </c>
      <c r="AJ41" s="7">
        <v>0</v>
      </c>
    </row>
    <row r="42" spans="32:36" x14ac:dyDescent="0.45">
      <c r="AF42" s="2" t="s">
        <v>13</v>
      </c>
      <c r="AG42" s="2" t="s">
        <v>21</v>
      </c>
      <c r="AH42" s="2">
        <v>18.600000000000001</v>
      </c>
      <c r="AI42" s="7">
        <v>0</v>
      </c>
      <c r="AJ42" s="7">
        <v>0</v>
      </c>
    </row>
    <row r="43" spans="32:36" x14ac:dyDescent="0.45">
      <c r="AF43" s="2" t="s">
        <v>13</v>
      </c>
      <c r="AG43" s="2" t="s">
        <v>22</v>
      </c>
      <c r="AH43" s="2">
        <v>53.7</v>
      </c>
      <c r="AI43" s="7">
        <v>0</v>
      </c>
      <c r="AJ43" s="7">
        <v>0</v>
      </c>
    </row>
    <row r="44" spans="32:36" x14ac:dyDescent="0.45">
      <c r="AF44" s="2" t="s">
        <v>13</v>
      </c>
      <c r="AG44" s="2" t="s">
        <v>23</v>
      </c>
      <c r="AH44" s="2">
        <v>29.7</v>
      </c>
      <c r="AI44" s="7">
        <v>0</v>
      </c>
      <c r="AJ44" s="7">
        <v>0</v>
      </c>
    </row>
    <row r="45" spans="32:36" x14ac:dyDescent="0.45">
      <c r="AF45" s="2" t="s">
        <v>13</v>
      </c>
      <c r="AG45" s="2" t="s">
        <v>24</v>
      </c>
      <c r="AH45" s="2">
        <v>26.3</v>
      </c>
      <c r="AI45" s="7">
        <v>0</v>
      </c>
      <c r="AJ45" s="7">
        <v>0</v>
      </c>
    </row>
    <row r="46" spans="32:36" x14ac:dyDescent="0.45">
      <c r="AF46" s="2" t="s">
        <v>13</v>
      </c>
      <c r="AG46" s="2" t="s">
        <v>25</v>
      </c>
      <c r="AH46" s="2">
        <v>22.1</v>
      </c>
      <c r="AI46" s="7">
        <v>0</v>
      </c>
      <c r="AJ46" s="7">
        <v>0</v>
      </c>
    </row>
    <row r="47" spans="32:36" x14ac:dyDescent="0.45">
      <c r="AF47" s="2" t="s">
        <v>13</v>
      </c>
      <c r="AG47" s="2" t="s">
        <v>26</v>
      </c>
      <c r="AH47" s="2">
        <v>40.700000000000003</v>
      </c>
      <c r="AI47" s="7">
        <v>0</v>
      </c>
      <c r="AJ47" s="7">
        <v>0</v>
      </c>
    </row>
    <row r="48" spans="32:36" x14ac:dyDescent="0.45">
      <c r="AF48" s="2" t="s">
        <v>14</v>
      </c>
      <c r="AG48" s="2" t="s">
        <v>3</v>
      </c>
      <c r="AH48" s="2">
        <v>55.9</v>
      </c>
      <c r="AI48" s="7">
        <v>1</v>
      </c>
      <c r="AJ48" s="7">
        <v>0</v>
      </c>
    </row>
    <row r="49" spans="32:36" x14ac:dyDescent="0.45">
      <c r="AF49" s="2" t="s">
        <v>14</v>
      </c>
      <c r="AG49" s="2" t="s">
        <v>12</v>
      </c>
      <c r="AH49" s="2">
        <v>17.5</v>
      </c>
      <c r="AI49" s="7">
        <v>0</v>
      </c>
      <c r="AJ49" s="7">
        <v>0</v>
      </c>
    </row>
    <row r="50" spans="32:36" x14ac:dyDescent="0.45">
      <c r="AF50" s="2" t="s">
        <v>14</v>
      </c>
      <c r="AG50" s="2" t="s">
        <v>13</v>
      </c>
      <c r="AH50" s="2">
        <v>15</v>
      </c>
      <c r="AI50" s="7">
        <v>0</v>
      </c>
      <c r="AJ50" s="7">
        <v>0</v>
      </c>
    </row>
    <row r="51" spans="32:36" x14ac:dyDescent="0.45">
      <c r="AF51" s="2" t="s">
        <v>14</v>
      </c>
      <c r="AG51" s="2" t="s">
        <v>15</v>
      </c>
      <c r="AH51" s="2">
        <v>9</v>
      </c>
      <c r="AI51" s="7">
        <v>0</v>
      </c>
      <c r="AJ51" s="7">
        <v>0</v>
      </c>
    </row>
    <row r="52" spans="32:36" x14ac:dyDescent="0.45">
      <c r="AF52" s="2" t="s">
        <v>14</v>
      </c>
      <c r="AG52" s="2" t="s">
        <v>16</v>
      </c>
      <c r="AH52" s="2">
        <v>15.7</v>
      </c>
      <c r="AI52" s="7">
        <v>0</v>
      </c>
      <c r="AJ52" s="7">
        <v>0</v>
      </c>
    </row>
    <row r="53" spans="32:36" x14ac:dyDescent="0.45">
      <c r="AF53" s="2" t="s">
        <v>14</v>
      </c>
      <c r="AG53" s="2" t="s">
        <v>17</v>
      </c>
      <c r="AH53" s="2">
        <v>27.4</v>
      </c>
      <c r="AI53" s="7">
        <v>0</v>
      </c>
      <c r="AJ53" s="7">
        <v>0</v>
      </c>
    </row>
    <row r="54" spans="32:36" x14ac:dyDescent="0.45">
      <c r="AF54" s="2" t="s">
        <v>14</v>
      </c>
      <c r="AG54" s="2" t="s">
        <v>18</v>
      </c>
      <c r="AH54" s="2">
        <v>22.9</v>
      </c>
      <c r="AI54" s="7">
        <v>0</v>
      </c>
      <c r="AJ54" s="7">
        <v>0</v>
      </c>
    </row>
    <row r="55" spans="32:36" x14ac:dyDescent="0.45">
      <c r="AF55" s="2" t="s">
        <v>14</v>
      </c>
      <c r="AG55" s="2" t="s">
        <v>19</v>
      </c>
      <c r="AH55" s="2">
        <v>20</v>
      </c>
      <c r="AI55" s="7">
        <v>0</v>
      </c>
      <c r="AJ55" s="7">
        <v>0</v>
      </c>
    </row>
    <row r="56" spans="32:36" x14ac:dyDescent="0.45">
      <c r="AF56" s="2" t="s">
        <v>14</v>
      </c>
      <c r="AG56" s="2" t="s">
        <v>20</v>
      </c>
      <c r="AH56" s="2">
        <v>18.600000000000001</v>
      </c>
      <c r="AI56" s="7">
        <v>0</v>
      </c>
      <c r="AJ56" s="7">
        <v>0</v>
      </c>
    </row>
    <row r="57" spans="32:36" x14ac:dyDescent="0.45">
      <c r="AF57" s="2" t="s">
        <v>14</v>
      </c>
      <c r="AG57" s="2" t="s">
        <v>21</v>
      </c>
      <c r="AH57" s="2">
        <v>18</v>
      </c>
      <c r="AI57" s="7">
        <v>0</v>
      </c>
      <c r="AJ57" s="7">
        <v>0</v>
      </c>
    </row>
    <row r="58" spans="32:36" x14ac:dyDescent="0.45">
      <c r="AF58" s="2" t="s">
        <v>14</v>
      </c>
      <c r="AG58" s="2" t="s">
        <v>22</v>
      </c>
      <c r="AH58" s="2">
        <v>26.8</v>
      </c>
      <c r="AI58" s="7">
        <v>0</v>
      </c>
      <c r="AJ58" s="7">
        <v>0</v>
      </c>
    </row>
    <row r="59" spans="32:36" x14ac:dyDescent="0.45">
      <c r="AF59" s="2" t="s">
        <v>14</v>
      </c>
      <c r="AG59" s="2" t="s">
        <v>23</v>
      </c>
      <c r="AH59" s="2">
        <v>20.6</v>
      </c>
      <c r="AI59" s="7">
        <v>0</v>
      </c>
      <c r="AJ59" s="7">
        <v>0</v>
      </c>
    </row>
    <row r="60" spans="32:36" x14ac:dyDescent="0.45">
      <c r="AF60" s="2" t="s">
        <v>14</v>
      </c>
      <c r="AG60" s="2" t="s">
        <v>24</v>
      </c>
      <c r="AH60" s="2">
        <v>31.3</v>
      </c>
      <c r="AI60" s="7">
        <v>0</v>
      </c>
      <c r="AJ60" s="7">
        <v>0</v>
      </c>
    </row>
    <row r="61" spans="32:36" x14ac:dyDescent="0.45">
      <c r="AF61" s="2" t="s">
        <v>14</v>
      </c>
      <c r="AG61" s="2" t="s">
        <v>25</v>
      </c>
      <c r="AH61" s="2">
        <v>27.4</v>
      </c>
      <c r="AI61" s="7">
        <v>0</v>
      </c>
      <c r="AJ61" s="7">
        <v>0</v>
      </c>
    </row>
    <row r="62" spans="32:36" x14ac:dyDescent="0.45">
      <c r="AF62" s="2" t="s">
        <v>14</v>
      </c>
      <c r="AG62" s="2" t="s">
        <v>26</v>
      </c>
      <c r="AH62" s="2">
        <v>32.6</v>
      </c>
      <c r="AI62" s="7">
        <v>0</v>
      </c>
      <c r="AJ62" s="7">
        <v>0</v>
      </c>
    </row>
    <row r="63" spans="32:36" x14ac:dyDescent="0.45">
      <c r="AF63" s="2" t="s">
        <v>15</v>
      </c>
      <c r="AG63" s="2" t="s">
        <v>3</v>
      </c>
      <c r="AH63" s="2">
        <v>66.099999999999994</v>
      </c>
      <c r="AI63" s="7">
        <v>1</v>
      </c>
      <c r="AJ63" s="7">
        <v>0</v>
      </c>
    </row>
    <row r="64" spans="32:36" x14ac:dyDescent="0.45">
      <c r="AF64" s="2" t="s">
        <v>15</v>
      </c>
      <c r="AG64" s="2" t="s">
        <v>12</v>
      </c>
      <c r="AH64" s="2">
        <v>27.8</v>
      </c>
      <c r="AI64" s="7">
        <v>0</v>
      </c>
      <c r="AJ64" s="7">
        <v>0</v>
      </c>
    </row>
    <row r="65" spans="32:36" x14ac:dyDescent="0.45">
      <c r="AF65" s="2" t="s">
        <v>15</v>
      </c>
      <c r="AG65" s="2" t="s">
        <v>13</v>
      </c>
      <c r="AH65" s="2">
        <v>20.8</v>
      </c>
      <c r="AI65" s="7">
        <v>0</v>
      </c>
      <c r="AJ65" s="7">
        <v>0</v>
      </c>
    </row>
    <row r="66" spans="32:36" x14ac:dyDescent="0.45">
      <c r="AF66" s="2" t="s">
        <v>15</v>
      </c>
      <c r="AG66" s="2" t="s">
        <v>14</v>
      </c>
      <c r="AH66" s="2">
        <v>7.4</v>
      </c>
      <c r="AI66" s="7">
        <v>0</v>
      </c>
      <c r="AJ66" s="7">
        <v>0</v>
      </c>
    </row>
    <row r="67" spans="32:36" x14ac:dyDescent="0.45">
      <c r="AF67" s="2" t="s">
        <v>15</v>
      </c>
      <c r="AG67" s="2" t="s">
        <v>16</v>
      </c>
      <c r="AH67" s="2">
        <v>11.3</v>
      </c>
      <c r="AI67" s="7">
        <v>0</v>
      </c>
      <c r="AJ67" s="7">
        <v>0</v>
      </c>
    </row>
    <row r="68" spans="32:36" x14ac:dyDescent="0.45">
      <c r="AF68" s="2" t="s">
        <v>15</v>
      </c>
      <c r="AG68" s="2" t="s">
        <v>17</v>
      </c>
      <c r="AH68" s="2">
        <v>27</v>
      </c>
      <c r="AI68" s="7">
        <v>0</v>
      </c>
      <c r="AJ68" s="7">
        <v>0</v>
      </c>
    </row>
    <row r="69" spans="32:36" x14ac:dyDescent="0.45">
      <c r="AF69" s="2" t="s">
        <v>15</v>
      </c>
      <c r="AG69" s="2" t="s">
        <v>18</v>
      </c>
      <c r="AH69" s="2">
        <v>24.3</v>
      </c>
      <c r="AI69" s="7">
        <v>0</v>
      </c>
      <c r="AJ69" s="7">
        <v>0</v>
      </c>
    </row>
    <row r="70" spans="32:36" x14ac:dyDescent="0.45">
      <c r="AF70" s="2" t="s">
        <v>15</v>
      </c>
      <c r="AG70" s="2" t="s">
        <v>19</v>
      </c>
      <c r="AH70" s="2">
        <v>15.5</v>
      </c>
      <c r="AI70" s="7">
        <v>0</v>
      </c>
      <c r="AJ70" s="7">
        <v>0</v>
      </c>
    </row>
    <row r="71" spans="32:36" x14ac:dyDescent="0.45">
      <c r="AF71" s="2" t="s">
        <v>15</v>
      </c>
      <c r="AG71" s="2" t="s">
        <v>20</v>
      </c>
      <c r="AH71" s="2">
        <v>18.100000000000001</v>
      </c>
      <c r="AI71" s="7">
        <v>0</v>
      </c>
      <c r="AJ71" s="7">
        <v>0</v>
      </c>
    </row>
    <row r="72" spans="32:36" x14ac:dyDescent="0.45">
      <c r="AF72" s="2" t="s">
        <v>15</v>
      </c>
      <c r="AG72" s="2" t="s">
        <v>21</v>
      </c>
      <c r="AH72" s="2">
        <v>11.4</v>
      </c>
      <c r="AI72" s="7">
        <v>0</v>
      </c>
      <c r="AJ72" s="7">
        <v>0</v>
      </c>
    </row>
    <row r="73" spans="32:36" x14ac:dyDescent="0.45">
      <c r="AF73" s="2" t="s">
        <v>15</v>
      </c>
      <c r="AG73" s="2" t="s">
        <v>22</v>
      </c>
      <c r="AH73" s="2">
        <v>17.399999999999999</v>
      </c>
      <c r="AI73" s="7">
        <v>0</v>
      </c>
      <c r="AJ73" s="7">
        <v>0</v>
      </c>
    </row>
    <row r="74" spans="32:36" x14ac:dyDescent="0.45">
      <c r="AF74" s="2" t="s">
        <v>15</v>
      </c>
      <c r="AG74" s="2" t="s">
        <v>23</v>
      </c>
      <c r="AH74" s="2">
        <v>14.1</v>
      </c>
      <c r="AI74" s="7">
        <v>0</v>
      </c>
      <c r="AJ74" s="7">
        <v>0</v>
      </c>
    </row>
    <row r="75" spans="32:36" x14ac:dyDescent="0.45">
      <c r="AF75" s="2" t="s">
        <v>15</v>
      </c>
      <c r="AG75" s="2" t="s">
        <v>24</v>
      </c>
      <c r="AH75" s="2">
        <v>25.1</v>
      </c>
      <c r="AI75" s="7">
        <v>0</v>
      </c>
      <c r="AJ75" s="7">
        <v>0</v>
      </c>
    </row>
    <row r="76" spans="32:36" x14ac:dyDescent="0.45">
      <c r="AF76" s="2" t="s">
        <v>15</v>
      </c>
      <c r="AG76" s="2" t="s">
        <v>25</v>
      </c>
      <c r="AH76" s="2">
        <v>27.1</v>
      </c>
      <c r="AI76" s="7">
        <v>0</v>
      </c>
      <c r="AJ76" s="7">
        <v>0</v>
      </c>
    </row>
    <row r="77" spans="32:36" x14ac:dyDescent="0.45">
      <c r="AF77" s="2" t="s">
        <v>15</v>
      </c>
      <c r="AG77" s="2" t="s">
        <v>26</v>
      </c>
      <c r="AH77" s="2">
        <v>32.299999999999997</v>
      </c>
      <c r="AI77" s="7">
        <v>0</v>
      </c>
      <c r="AJ77" s="7">
        <v>0</v>
      </c>
    </row>
    <row r="78" spans="32:36" x14ac:dyDescent="0.45">
      <c r="AF78" s="2" t="s">
        <v>16</v>
      </c>
      <c r="AG78" s="2" t="s">
        <v>3</v>
      </c>
      <c r="AH78" s="2">
        <v>65.099999999999994</v>
      </c>
      <c r="AI78" s="7">
        <v>1</v>
      </c>
      <c r="AJ78" s="7">
        <v>0</v>
      </c>
    </row>
    <row r="79" spans="32:36" x14ac:dyDescent="0.45">
      <c r="AF79" s="2" t="s">
        <v>16</v>
      </c>
      <c r="AG79" s="2" t="s">
        <v>12</v>
      </c>
      <c r="AH79" s="2">
        <v>26.7</v>
      </c>
      <c r="AI79" s="7">
        <v>0</v>
      </c>
      <c r="AJ79" s="7">
        <v>0</v>
      </c>
    </row>
    <row r="80" spans="32:36" x14ac:dyDescent="0.45">
      <c r="AF80" s="2" t="s">
        <v>16</v>
      </c>
      <c r="AG80" s="2" t="s">
        <v>13</v>
      </c>
      <c r="AH80" s="2">
        <v>6.2</v>
      </c>
      <c r="AI80" s="7">
        <v>0</v>
      </c>
      <c r="AJ80" s="7">
        <v>0</v>
      </c>
    </row>
    <row r="81" spans="32:36" x14ac:dyDescent="0.45">
      <c r="AF81" s="2" t="s">
        <v>16</v>
      </c>
      <c r="AG81" s="2" t="s">
        <v>14</v>
      </c>
      <c r="AH81" s="2">
        <v>16.5</v>
      </c>
      <c r="AI81" s="7">
        <v>0</v>
      </c>
      <c r="AJ81" s="7">
        <v>0</v>
      </c>
    </row>
    <row r="82" spans="32:36" x14ac:dyDescent="0.45">
      <c r="AF82" s="2" t="s">
        <v>16</v>
      </c>
      <c r="AG82" s="2" t="s">
        <v>15</v>
      </c>
      <c r="AH82" s="2">
        <v>9.6999999999999993</v>
      </c>
      <c r="AI82" s="7">
        <v>0</v>
      </c>
      <c r="AJ82" s="7">
        <v>0</v>
      </c>
    </row>
    <row r="83" spans="32:36" x14ac:dyDescent="0.45">
      <c r="AF83" s="2" t="s">
        <v>16</v>
      </c>
      <c r="AG83" s="2" t="s">
        <v>17</v>
      </c>
      <c r="AH83" s="2">
        <v>13.6</v>
      </c>
      <c r="AI83" s="7">
        <v>0</v>
      </c>
      <c r="AJ83" s="7">
        <v>0</v>
      </c>
    </row>
    <row r="84" spans="32:36" x14ac:dyDescent="0.45">
      <c r="AF84" s="2" t="s">
        <v>16</v>
      </c>
      <c r="AG84" s="2" t="s">
        <v>18</v>
      </c>
      <c r="AH84" s="2">
        <v>9.1</v>
      </c>
      <c r="AI84" s="7">
        <v>0</v>
      </c>
      <c r="AJ84" s="7">
        <v>0</v>
      </c>
    </row>
    <row r="85" spans="32:36" x14ac:dyDescent="0.45">
      <c r="AF85" s="2" t="s">
        <v>16</v>
      </c>
      <c r="AG85" s="2" t="s">
        <v>19</v>
      </c>
      <c r="AH85" s="2">
        <v>6.2</v>
      </c>
      <c r="AI85" s="7">
        <v>0</v>
      </c>
      <c r="AJ85" s="7">
        <v>0</v>
      </c>
    </row>
    <row r="86" spans="32:36" x14ac:dyDescent="0.45">
      <c r="AF86" s="2" t="s">
        <v>16</v>
      </c>
      <c r="AG86" s="2" t="s">
        <v>20</v>
      </c>
      <c r="AH86" s="2">
        <v>5.0999999999999996</v>
      </c>
      <c r="AI86" s="7">
        <v>0</v>
      </c>
      <c r="AJ86" s="7">
        <v>0</v>
      </c>
    </row>
    <row r="87" spans="32:36" x14ac:dyDescent="0.45">
      <c r="AF87" s="2" t="s">
        <v>16</v>
      </c>
      <c r="AG87" s="2" t="s">
        <v>21</v>
      </c>
      <c r="AH87" s="2">
        <v>10.4</v>
      </c>
      <c r="AI87" s="7">
        <v>0</v>
      </c>
      <c r="AJ87" s="7">
        <v>0</v>
      </c>
    </row>
    <row r="88" spans="32:36" x14ac:dyDescent="0.45">
      <c r="AF88" s="2" t="s">
        <v>16</v>
      </c>
      <c r="AG88" s="2" t="s">
        <v>22</v>
      </c>
      <c r="AH88" s="2">
        <v>24.2</v>
      </c>
      <c r="AI88" s="7">
        <v>0</v>
      </c>
      <c r="AJ88" s="7">
        <v>0</v>
      </c>
    </row>
    <row r="89" spans="32:36" x14ac:dyDescent="0.45">
      <c r="AF89" s="2" t="s">
        <v>16</v>
      </c>
      <c r="AG89" s="2" t="s">
        <v>23</v>
      </c>
      <c r="AH89" s="2">
        <v>21.3</v>
      </c>
      <c r="AI89" s="7">
        <v>0</v>
      </c>
      <c r="AJ89" s="7">
        <v>0</v>
      </c>
    </row>
    <row r="90" spans="32:36" x14ac:dyDescent="0.45">
      <c r="AF90" s="2" t="s">
        <v>16</v>
      </c>
      <c r="AG90" s="2" t="s">
        <v>24</v>
      </c>
      <c r="AH90" s="2">
        <v>18.100000000000001</v>
      </c>
      <c r="AI90" s="7">
        <v>0</v>
      </c>
      <c r="AJ90" s="7">
        <v>0</v>
      </c>
    </row>
    <row r="91" spans="32:36" x14ac:dyDescent="0.45">
      <c r="AF91" s="2" t="s">
        <v>16</v>
      </c>
      <c r="AG91" s="2" t="s">
        <v>25</v>
      </c>
      <c r="AH91" s="2">
        <v>13.5</v>
      </c>
      <c r="AI91" s="7">
        <v>0</v>
      </c>
      <c r="AJ91" s="7">
        <v>0</v>
      </c>
    </row>
    <row r="92" spans="32:36" x14ac:dyDescent="0.45">
      <c r="AF92" s="2" t="s">
        <v>16</v>
      </c>
      <c r="AG92" s="2" t="s">
        <v>26</v>
      </c>
      <c r="AH92" s="2">
        <v>18.8</v>
      </c>
      <c r="AI92" s="7">
        <v>0</v>
      </c>
      <c r="AJ92" s="7">
        <v>0</v>
      </c>
    </row>
    <row r="93" spans="32:36" x14ac:dyDescent="0.45">
      <c r="AF93" s="2" t="s">
        <v>17</v>
      </c>
      <c r="AG93" s="2" t="s">
        <v>3</v>
      </c>
      <c r="AH93" s="2">
        <v>77.2</v>
      </c>
      <c r="AI93" s="7">
        <v>1</v>
      </c>
      <c r="AJ93" s="7">
        <v>0</v>
      </c>
    </row>
    <row r="94" spans="32:36" x14ac:dyDescent="0.45">
      <c r="AF94" s="2" t="s">
        <v>17</v>
      </c>
      <c r="AG94" s="2" t="s">
        <v>12</v>
      </c>
      <c r="AH94" s="2">
        <v>38.799999999999997</v>
      </c>
      <c r="AI94" s="7">
        <v>0</v>
      </c>
      <c r="AJ94" s="7">
        <v>0</v>
      </c>
    </row>
    <row r="95" spans="32:36" x14ac:dyDescent="0.45">
      <c r="AF95" s="2" t="s">
        <v>17</v>
      </c>
      <c r="AG95" s="2" t="s">
        <v>13</v>
      </c>
      <c r="AH95" s="2">
        <v>19</v>
      </c>
      <c r="AI95" s="7">
        <v>0</v>
      </c>
      <c r="AJ95" s="7">
        <v>0</v>
      </c>
    </row>
    <row r="96" spans="32:36" x14ac:dyDescent="0.45">
      <c r="AF96" s="2" t="s">
        <v>17</v>
      </c>
      <c r="AG96" s="2" t="s">
        <v>14</v>
      </c>
      <c r="AH96" s="2">
        <v>39.4</v>
      </c>
      <c r="AI96" s="7">
        <v>0</v>
      </c>
      <c r="AJ96" s="7">
        <v>0</v>
      </c>
    </row>
    <row r="97" spans="32:36" x14ac:dyDescent="0.45">
      <c r="AF97" s="2" t="s">
        <v>17</v>
      </c>
      <c r="AG97" s="2" t="s">
        <v>15</v>
      </c>
      <c r="AH97" s="2">
        <v>23.6</v>
      </c>
      <c r="AI97" s="7">
        <v>0</v>
      </c>
      <c r="AJ97" s="7">
        <v>0</v>
      </c>
    </row>
    <row r="98" spans="32:36" x14ac:dyDescent="0.45">
      <c r="AF98" s="2" t="s">
        <v>17</v>
      </c>
      <c r="AG98" s="2" t="s">
        <v>16</v>
      </c>
      <c r="AH98" s="2">
        <v>16.8</v>
      </c>
      <c r="AI98" s="7">
        <v>0</v>
      </c>
      <c r="AJ98" s="7">
        <v>0</v>
      </c>
    </row>
    <row r="99" spans="32:36" x14ac:dyDescent="0.45">
      <c r="AF99" s="2" t="s">
        <v>17</v>
      </c>
      <c r="AG99" s="2" t="s">
        <v>18</v>
      </c>
      <c r="AH99" s="2">
        <v>6</v>
      </c>
      <c r="AI99" s="7">
        <v>0</v>
      </c>
      <c r="AJ99" s="7">
        <v>0</v>
      </c>
    </row>
    <row r="100" spans="32:36" x14ac:dyDescent="0.45">
      <c r="AF100" s="2" t="s">
        <v>17</v>
      </c>
      <c r="AG100" s="2" t="s">
        <v>19</v>
      </c>
      <c r="AH100" s="2">
        <v>10.4</v>
      </c>
      <c r="AI100" s="7">
        <v>0</v>
      </c>
      <c r="AJ100" s="7">
        <v>0</v>
      </c>
    </row>
    <row r="101" spans="32:36" x14ac:dyDescent="0.45">
      <c r="AF101" s="2" t="s">
        <v>17</v>
      </c>
      <c r="AG101" s="2" t="s">
        <v>20</v>
      </c>
      <c r="AH101" s="2">
        <v>15.8</v>
      </c>
      <c r="AI101" s="7">
        <v>0</v>
      </c>
      <c r="AJ101" s="7">
        <v>0</v>
      </c>
    </row>
    <row r="102" spans="32:36" x14ac:dyDescent="0.45">
      <c r="AF102" s="2" t="s">
        <v>17</v>
      </c>
      <c r="AG102" s="2" t="s">
        <v>21</v>
      </c>
      <c r="AH102" s="2">
        <v>17.600000000000001</v>
      </c>
      <c r="AI102" s="7">
        <v>0</v>
      </c>
      <c r="AJ102" s="7">
        <v>0</v>
      </c>
    </row>
    <row r="103" spans="32:36" x14ac:dyDescent="0.45">
      <c r="AF103" s="2" t="s">
        <v>17</v>
      </c>
      <c r="AG103" s="2" t="s">
        <v>22</v>
      </c>
      <c r="AH103" s="2">
        <v>31.1</v>
      </c>
      <c r="AI103" s="7">
        <v>0</v>
      </c>
      <c r="AJ103" s="7">
        <v>0</v>
      </c>
    </row>
    <row r="104" spans="32:36" x14ac:dyDescent="0.45">
      <c r="AF104" s="2" t="s">
        <v>17</v>
      </c>
      <c r="AG104" s="2" t="s">
        <v>23</v>
      </c>
      <c r="AH104" s="2">
        <v>28.1</v>
      </c>
      <c r="AI104" s="7">
        <v>0</v>
      </c>
      <c r="AJ104" s="7">
        <v>0</v>
      </c>
    </row>
    <row r="105" spans="32:36" x14ac:dyDescent="0.45">
      <c r="AF105" s="2" t="s">
        <v>17</v>
      </c>
      <c r="AG105" s="2" t="s">
        <v>24</v>
      </c>
      <c r="AH105" s="2">
        <v>18.7</v>
      </c>
      <c r="AI105" s="7">
        <v>0</v>
      </c>
      <c r="AJ105" s="7">
        <v>0</v>
      </c>
    </row>
    <row r="106" spans="32:36" x14ac:dyDescent="0.45">
      <c r="AF106" s="2" t="s">
        <v>17</v>
      </c>
      <c r="AG106" s="2" t="s">
        <v>25</v>
      </c>
      <c r="AH106" s="2">
        <v>14.6</v>
      </c>
      <c r="AI106" s="7">
        <v>0</v>
      </c>
      <c r="AJ106" s="7">
        <v>0</v>
      </c>
    </row>
    <row r="107" spans="32:36" x14ac:dyDescent="0.45">
      <c r="AF107" s="2" t="s">
        <v>17</v>
      </c>
      <c r="AG107" s="2" t="s">
        <v>26</v>
      </c>
      <c r="AH107" s="2">
        <v>24.6</v>
      </c>
      <c r="AI107" s="7">
        <v>0</v>
      </c>
      <c r="AJ107" s="7">
        <v>0</v>
      </c>
    </row>
    <row r="108" spans="32:36" x14ac:dyDescent="0.45">
      <c r="AF108" s="2" t="s">
        <v>18</v>
      </c>
      <c r="AG108" s="2" t="s">
        <v>3</v>
      </c>
      <c r="AH108" s="2">
        <v>76.7</v>
      </c>
      <c r="AI108" s="7">
        <v>1</v>
      </c>
      <c r="AJ108" s="7">
        <v>0</v>
      </c>
    </row>
    <row r="109" spans="32:36" x14ac:dyDescent="0.45">
      <c r="AF109" s="2" t="s">
        <v>18</v>
      </c>
      <c r="AG109" s="2" t="s">
        <v>12</v>
      </c>
      <c r="AH109" s="2">
        <v>38.4</v>
      </c>
      <c r="AI109" s="7">
        <v>0</v>
      </c>
      <c r="AJ109" s="7">
        <v>0</v>
      </c>
    </row>
    <row r="110" spans="32:36" x14ac:dyDescent="0.45">
      <c r="AF110" s="2" t="s">
        <v>18</v>
      </c>
      <c r="AG110" s="2" t="s">
        <v>13</v>
      </c>
      <c r="AH110" s="2">
        <v>17.2</v>
      </c>
      <c r="AI110" s="7">
        <v>0</v>
      </c>
      <c r="AJ110" s="7">
        <v>0</v>
      </c>
    </row>
    <row r="111" spans="32:36" x14ac:dyDescent="0.45">
      <c r="AF111" s="2" t="s">
        <v>18</v>
      </c>
      <c r="AG111" s="2" t="s">
        <v>14</v>
      </c>
      <c r="AH111" s="2">
        <v>29.7</v>
      </c>
      <c r="AI111" s="7">
        <v>0</v>
      </c>
      <c r="AJ111" s="7">
        <v>0</v>
      </c>
    </row>
    <row r="112" spans="32:36" x14ac:dyDescent="0.45">
      <c r="AF112" s="2" t="s">
        <v>18</v>
      </c>
      <c r="AG112" s="2" t="s">
        <v>15</v>
      </c>
      <c r="AH112" s="2">
        <v>17.7</v>
      </c>
      <c r="AI112" s="7">
        <v>0</v>
      </c>
      <c r="AJ112" s="7">
        <v>0</v>
      </c>
    </row>
    <row r="113" spans="32:36" x14ac:dyDescent="0.45">
      <c r="AF113" s="2" t="s">
        <v>18</v>
      </c>
      <c r="AG113" s="2" t="s">
        <v>16</v>
      </c>
      <c r="AH113" s="2">
        <v>11</v>
      </c>
      <c r="AI113" s="7">
        <v>0</v>
      </c>
      <c r="AJ113" s="7">
        <v>0</v>
      </c>
    </row>
    <row r="114" spans="32:36" x14ac:dyDescent="0.45">
      <c r="AF114" s="2" t="s">
        <v>18</v>
      </c>
      <c r="AG114" s="2" t="s">
        <v>17</v>
      </c>
      <c r="AH114" s="2">
        <v>5.4</v>
      </c>
      <c r="AI114" s="7">
        <v>0</v>
      </c>
      <c r="AJ114" s="7">
        <v>0</v>
      </c>
    </row>
    <row r="115" spans="32:36" x14ac:dyDescent="0.45">
      <c r="AF115" s="2" t="s">
        <v>18</v>
      </c>
      <c r="AG115" s="2" t="s">
        <v>19</v>
      </c>
      <c r="AH115" s="2">
        <v>4.5999999999999996</v>
      </c>
      <c r="AI115" s="7">
        <v>0</v>
      </c>
      <c r="AJ115" s="7">
        <v>0</v>
      </c>
    </row>
    <row r="116" spans="32:36" x14ac:dyDescent="0.45">
      <c r="AF116" s="2" t="s">
        <v>18</v>
      </c>
      <c r="AG116" s="2" t="s">
        <v>20</v>
      </c>
      <c r="AH116" s="2">
        <v>9.9</v>
      </c>
      <c r="AI116" s="7">
        <v>0</v>
      </c>
      <c r="AJ116" s="7">
        <v>0</v>
      </c>
    </row>
    <row r="117" spans="32:36" x14ac:dyDescent="0.45">
      <c r="AF117" s="2" t="s">
        <v>18</v>
      </c>
      <c r="AG117" s="2" t="s">
        <v>21</v>
      </c>
      <c r="AH117" s="2">
        <v>11.7</v>
      </c>
      <c r="AI117" s="7">
        <v>0</v>
      </c>
      <c r="AJ117" s="7">
        <v>0</v>
      </c>
    </row>
    <row r="118" spans="32:36" x14ac:dyDescent="0.45">
      <c r="AF118" s="2" t="s">
        <v>18</v>
      </c>
      <c r="AG118" s="2" t="s">
        <v>22</v>
      </c>
      <c r="AH118" s="2">
        <v>25.2</v>
      </c>
      <c r="AI118" s="7">
        <v>0</v>
      </c>
      <c r="AJ118" s="7">
        <v>0</v>
      </c>
    </row>
    <row r="119" spans="32:36" x14ac:dyDescent="0.45">
      <c r="AF119" s="2" t="s">
        <v>18</v>
      </c>
      <c r="AG119" s="2" t="s">
        <v>23</v>
      </c>
      <c r="AH119" s="2">
        <v>22.2</v>
      </c>
      <c r="AI119" s="7">
        <v>0</v>
      </c>
      <c r="AJ119" s="7">
        <v>0</v>
      </c>
    </row>
    <row r="120" spans="32:36" x14ac:dyDescent="0.45">
      <c r="AF120" s="2" t="s">
        <v>18</v>
      </c>
      <c r="AG120" s="2" t="s">
        <v>24</v>
      </c>
      <c r="AH120" s="2">
        <v>12.8</v>
      </c>
      <c r="AI120" s="7">
        <v>0</v>
      </c>
      <c r="AJ120" s="7">
        <v>0</v>
      </c>
    </row>
    <row r="121" spans="32:36" x14ac:dyDescent="0.45">
      <c r="AF121" s="2" t="s">
        <v>18</v>
      </c>
      <c r="AG121" s="2" t="s">
        <v>25</v>
      </c>
      <c r="AH121" s="2">
        <v>8.6999999999999993</v>
      </c>
      <c r="AI121" s="7">
        <v>0</v>
      </c>
      <c r="AJ121" s="7">
        <v>0</v>
      </c>
    </row>
    <row r="122" spans="32:36" x14ac:dyDescent="0.45">
      <c r="AF122" s="2" t="s">
        <v>18</v>
      </c>
      <c r="AG122" s="2" t="s">
        <v>26</v>
      </c>
      <c r="AH122" s="2">
        <v>13.1</v>
      </c>
      <c r="AI122" s="7">
        <v>0</v>
      </c>
      <c r="AJ122" s="7">
        <v>0</v>
      </c>
    </row>
    <row r="123" spans="32:36" x14ac:dyDescent="0.45">
      <c r="AF123" s="2" t="s">
        <v>19</v>
      </c>
      <c r="AG123" s="2" t="s">
        <v>3</v>
      </c>
      <c r="AH123" s="2">
        <v>76.099999999999994</v>
      </c>
      <c r="AI123" s="7">
        <v>1</v>
      </c>
      <c r="AJ123" s="7">
        <v>0</v>
      </c>
    </row>
    <row r="124" spans="32:36" x14ac:dyDescent="0.45">
      <c r="AF124" s="2" t="s">
        <v>19</v>
      </c>
      <c r="AG124" s="2" t="s">
        <v>12</v>
      </c>
      <c r="AH124" s="2">
        <v>37.700000000000003</v>
      </c>
      <c r="AI124" s="7">
        <v>0</v>
      </c>
      <c r="AJ124" s="7">
        <v>0</v>
      </c>
    </row>
    <row r="125" spans="32:36" x14ac:dyDescent="0.45">
      <c r="AF125" s="2" t="s">
        <v>19</v>
      </c>
      <c r="AG125" s="2" t="s">
        <v>13</v>
      </c>
      <c r="AH125" s="2">
        <v>16.2</v>
      </c>
      <c r="AI125" s="7">
        <v>0</v>
      </c>
      <c r="AJ125" s="7">
        <v>0</v>
      </c>
    </row>
    <row r="126" spans="32:36" x14ac:dyDescent="0.45">
      <c r="AF126" s="2" t="s">
        <v>19</v>
      </c>
      <c r="AG126" s="2" t="s">
        <v>14</v>
      </c>
      <c r="AH126" s="2">
        <v>28.3</v>
      </c>
      <c r="AI126" s="7">
        <v>0</v>
      </c>
      <c r="AJ126" s="7">
        <v>0</v>
      </c>
    </row>
    <row r="127" spans="32:36" x14ac:dyDescent="0.45">
      <c r="AF127" s="2" t="s">
        <v>19</v>
      </c>
      <c r="AG127" s="2" t="s">
        <v>15</v>
      </c>
      <c r="AH127" s="2">
        <v>16.600000000000001</v>
      </c>
      <c r="AI127" s="7">
        <v>0</v>
      </c>
      <c r="AJ127" s="7">
        <v>0</v>
      </c>
    </row>
    <row r="128" spans="32:36" x14ac:dyDescent="0.45">
      <c r="AF128" s="2" t="s">
        <v>19</v>
      </c>
      <c r="AG128" s="2" t="s">
        <v>16</v>
      </c>
      <c r="AH128" s="2">
        <v>9.9</v>
      </c>
      <c r="AI128" s="7">
        <v>0</v>
      </c>
      <c r="AJ128" s="7">
        <v>0</v>
      </c>
    </row>
    <row r="129" spans="32:36" x14ac:dyDescent="0.45">
      <c r="AF129" s="2" t="s">
        <v>19</v>
      </c>
      <c r="AG129" s="2" t="s">
        <v>17</v>
      </c>
      <c r="AH129" s="2">
        <v>7.4</v>
      </c>
      <c r="AI129" s="7">
        <v>0</v>
      </c>
      <c r="AJ129" s="7">
        <v>0</v>
      </c>
    </row>
    <row r="130" spans="32:36" x14ac:dyDescent="0.45">
      <c r="AF130" s="2" t="s">
        <v>19</v>
      </c>
      <c r="AG130" s="2" t="s">
        <v>18</v>
      </c>
      <c r="AH130" s="2">
        <v>4.7</v>
      </c>
      <c r="AI130" s="7">
        <v>0</v>
      </c>
      <c r="AJ130" s="7">
        <v>0</v>
      </c>
    </row>
    <row r="131" spans="32:36" x14ac:dyDescent="0.45">
      <c r="AF131" s="2" t="s">
        <v>19</v>
      </c>
      <c r="AG131" s="2" t="s">
        <v>20</v>
      </c>
      <c r="AH131" s="2">
        <v>8.8000000000000007</v>
      </c>
      <c r="AI131" s="7">
        <v>0</v>
      </c>
      <c r="AJ131" s="7">
        <v>0</v>
      </c>
    </row>
    <row r="132" spans="32:36" x14ac:dyDescent="0.45">
      <c r="AF132" s="2" t="s">
        <v>19</v>
      </c>
      <c r="AG132" s="2" t="s">
        <v>21</v>
      </c>
      <c r="AH132" s="2">
        <v>10.6</v>
      </c>
      <c r="AI132" s="7">
        <v>0</v>
      </c>
      <c r="AJ132" s="7">
        <v>0</v>
      </c>
    </row>
    <row r="133" spans="32:36" x14ac:dyDescent="0.45">
      <c r="AF133" s="2" t="s">
        <v>19</v>
      </c>
      <c r="AG133" s="2" t="s">
        <v>22</v>
      </c>
      <c r="AH133" s="2">
        <v>24.1</v>
      </c>
      <c r="AI133" s="7">
        <v>0</v>
      </c>
      <c r="AJ133" s="7">
        <v>0</v>
      </c>
    </row>
    <row r="134" spans="32:36" x14ac:dyDescent="0.45">
      <c r="AF134" s="2" t="s">
        <v>19</v>
      </c>
      <c r="AG134" s="2" t="s">
        <v>23</v>
      </c>
      <c r="AH134" s="2">
        <v>21.1</v>
      </c>
      <c r="AI134" s="7">
        <v>0</v>
      </c>
      <c r="AJ134" s="7">
        <v>0</v>
      </c>
    </row>
    <row r="135" spans="32:36" x14ac:dyDescent="0.45">
      <c r="AF135" s="2" t="s">
        <v>19</v>
      </c>
      <c r="AG135" s="2" t="s">
        <v>24</v>
      </c>
      <c r="AH135" s="2">
        <v>11.7</v>
      </c>
      <c r="AI135" s="7">
        <v>0</v>
      </c>
      <c r="AJ135" s="7">
        <v>0</v>
      </c>
    </row>
    <row r="136" spans="32:36" x14ac:dyDescent="0.45">
      <c r="AF136" s="2" t="s">
        <v>19</v>
      </c>
      <c r="AG136" s="2" t="s">
        <v>25</v>
      </c>
      <c r="AH136" s="2">
        <v>8.3000000000000007</v>
      </c>
      <c r="AI136" s="7">
        <v>0</v>
      </c>
      <c r="AJ136" s="7">
        <v>0</v>
      </c>
    </row>
    <row r="137" spans="32:36" x14ac:dyDescent="0.45">
      <c r="AF137" s="2" t="s">
        <v>19</v>
      </c>
      <c r="AG137" s="2" t="s">
        <v>26</v>
      </c>
      <c r="AH137" s="2">
        <v>12.6</v>
      </c>
      <c r="AI137" s="7">
        <v>0</v>
      </c>
      <c r="AJ137" s="7">
        <v>0</v>
      </c>
    </row>
    <row r="138" spans="32:36" x14ac:dyDescent="0.45">
      <c r="AF138" s="2" t="s">
        <v>20</v>
      </c>
      <c r="AG138" s="2" t="s">
        <v>3</v>
      </c>
      <c r="AH138" s="2">
        <v>89.2</v>
      </c>
      <c r="AI138" s="7">
        <v>0</v>
      </c>
      <c r="AJ138" s="7">
        <v>0</v>
      </c>
    </row>
    <row r="139" spans="32:36" x14ac:dyDescent="0.45">
      <c r="AF139" s="2" t="s">
        <v>20</v>
      </c>
      <c r="AG139" s="2" t="s">
        <v>12</v>
      </c>
      <c r="AH139" s="2">
        <v>50.8</v>
      </c>
      <c r="AI139" s="7">
        <v>0</v>
      </c>
      <c r="AJ139" s="7">
        <v>0</v>
      </c>
    </row>
    <row r="140" spans="32:36" x14ac:dyDescent="0.45">
      <c r="AF140" s="2" t="s">
        <v>20</v>
      </c>
      <c r="AG140" s="2" t="s">
        <v>13</v>
      </c>
      <c r="AH140" s="2">
        <v>13.6</v>
      </c>
      <c r="AI140" s="7">
        <v>1</v>
      </c>
      <c r="AJ140" s="7">
        <v>1100</v>
      </c>
    </row>
    <row r="141" spans="32:36" x14ac:dyDescent="0.45">
      <c r="AF141" s="2" t="s">
        <v>20</v>
      </c>
      <c r="AG141" s="2" t="s">
        <v>14</v>
      </c>
      <c r="AH141" s="2">
        <v>23.3</v>
      </c>
      <c r="AI141" s="7">
        <v>0</v>
      </c>
      <c r="AJ141" s="7">
        <v>0</v>
      </c>
    </row>
    <row r="142" spans="32:36" x14ac:dyDescent="0.45">
      <c r="AF142" s="2" t="s">
        <v>20</v>
      </c>
      <c r="AG142" s="2" t="s">
        <v>15</v>
      </c>
      <c r="AH142" s="2">
        <v>9.5</v>
      </c>
      <c r="AI142" s="7">
        <v>0</v>
      </c>
      <c r="AJ142" s="7">
        <v>0</v>
      </c>
    </row>
    <row r="143" spans="32:36" x14ac:dyDescent="0.45">
      <c r="AF143" s="2" t="s">
        <v>20</v>
      </c>
      <c r="AG143" s="2" t="s">
        <v>16</v>
      </c>
      <c r="AH143" s="2">
        <v>7.3</v>
      </c>
      <c r="AI143" s="7">
        <v>0</v>
      </c>
      <c r="AJ143" s="7">
        <v>0</v>
      </c>
    </row>
    <row r="144" spans="32:36" x14ac:dyDescent="0.45">
      <c r="AF144" s="2" t="s">
        <v>20</v>
      </c>
      <c r="AG144" s="2" t="s">
        <v>17</v>
      </c>
      <c r="AH144" s="2">
        <v>13.7</v>
      </c>
      <c r="AI144" s="7">
        <v>0</v>
      </c>
      <c r="AJ144" s="7">
        <v>0</v>
      </c>
    </row>
    <row r="145" spans="32:36" x14ac:dyDescent="0.45">
      <c r="AF145" s="2" t="s">
        <v>20</v>
      </c>
      <c r="AG145" s="2" t="s">
        <v>18</v>
      </c>
      <c r="AH145" s="2">
        <v>11</v>
      </c>
      <c r="AI145" s="7">
        <v>0</v>
      </c>
      <c r="AJ145" s="7">
        <v>0</v>
      </c>
    </row>
    <row r="146" spans="32:36" x14ac:dyDescent="0.45">
      <c r="AF146" s="2" t="s">
        <v>20</v>
      </c>
      <c r="AG146" s="2" t="s">
        <v>19</v>
      </c>
      <c r="AH146" s="2">
        <v>6.9</v>
      </c>
      <c r="AI146" s="7">
        <v>0</v>
      </c>
      <c r="AJ146" s="7">
        <v>0</v>
      </c>
    </row>
    <row r="147" spans="32:36" x14ac:dyDescent="0.45">
      <c r="AF147" s="2" t="s">
        <v>20</v>
      </c>
      <c r="AG147" s="2" t="s">
        <v>21</v>
      </c>
      <c r="AH147" s="2">
        <v>5.2</v>
      </c>
      <c r="AI147" s="7">
        <v>0</v>
      </c>
      <c r="AJ147" s="7">
        <v>0</v>
      </c>
    </row>
    <row r="148" spans="32:36" x14ac:dyDescent="0.45">
      <c r="AF148" s="2" t="s">
        <v>20</v>
      </c>
      <c r="AG148" s="2" t="s">
        <v>22</v>
      </c>
      <c r="AH148" s="2">
        <v>19.100000000000001</v>
      </c>
      <c r="AI148" s="7">
        <v>0</v>
      </c>
      <c r="AJ148" s="7">
        <v>0</v>
      </c>
    </row>
    <row r="149" spans="32:36" x14ac:dyDescent="0.45">
      <c r="AF149" s="2" t="s">
        <v>20</v>
      </c>
      <c r="AG149" s="2" t="s">
        <v>23</v>
      </c>
      <c r="AH149" s="2">
        <v>16.100000000000001</v>
      </c>
      <c r="AI149" s="7">
        <v>0</v>
      </c>
      <c r="AJ149" s="7">
        <v>0</v>
      </c>
    </row>
    <row r="150" spans="32:36" x14ac:dyDescent="0.45">
      <c r="AF150" s="2" t="s">
        <v>20</v>
      </c>
      <c r="AG150" s="2" t="s">
        <v>24</v>
      </c>
      <c r="AH150" s="2">
        <v>11.5</v>
      </c>
      <c r="AI150" s="7">
        <v>0</v>
      </c>
      <c r="AJ150" s="7">
        <v>0</v>
      </c>
    </row>
    <row r="151" spans="32:36" x14ac:dyDescent="0.45">
      <c r="AF151" s="2" t="s">
        <v>20</v>
      </c>
      <c r="AG151" s="2" t="s">
        <v>25</v>
      </c>
      <c r="AH151" s="2">
        <v>15.4</v>
      </c>
      <c r="AI151" s="7">
        <v>0</v>
      </c>
      <c r="AJ151" s="7">
        <v>0</v>
      </c>
    </row>
    <row r="152" spans="32:36" x14ac:dyDescent="0.45">
      <c r="AF152" s="2" t="s">
        <v>20</v>
      </c>
      <c r="AG152" s="2" t="s">
        <v>26</v>
      </c>
      <c r="AH152" s="2">
        <v>19</v>
      </c>
      <c r="AI152" s="7">
        <v>0</v>
      </c>
      <c r="AJ152" s="7">
        <v>0</v>
      </c>
    </row>
    <row r="153" spans="32:36" x14ac:dyDescent="0.45">
      <c r="AF153" s="2" t="s">
        <v>21</v>
      </c>
      <c r="AG153" s="2" t="s">
        <v>3</v>
      </c>
      <c r="AH153" s="2">
        <v>85.6</v>
      </c>
      <c r="AI153" s="7">
        <v>1</v>
      </c>
      <c r="AJ153" s="7">
        <v>0</v>
      </c>
    </row>
    <row r="154" spans="32:36" x14ac:dyDescent="0.45">
      <c r="AF154" s="2" t="s">
        <v>21</v>
      </c>
      <c r="AG154" s="2" t="s">
        <v>12</v>
      </c>
      <c r="AH154" s="2">
        <v>47.3</v>
      </c>
      <c r="AI154" s="7">
        <v>0</v>
      </c>
      <c r="AJ154" s="7">
        <v>0</v>
      </c>
    </row>
    <row r="155" spans="32:36" x14ac:dyDescent="0.45">
      <c r="AF155" s="2" t="s">
        <v>21</v>
      </c>
      <c r="AG155" s="2" t="s">
        <v>13</v>
      </c>
      <c r="AH155" s="2">
        <v>15.2</v>
      </c>
      <c r="AI155" s="7">
        <v>0</v>
      </c>
      <c r="AJ155" s="7">
        <v>0</v>
      </c>
    </row>
    <row r="156" spans="32:36" x14ac:dyDescent="0.45">
      <c r="AF156" s="2" t="s">
        <v>21</v>
      </c>
      <c r="AG156" s="2" t="s">
        <v>14</v>
      </c>
      <c r="AH156" s="2">
        <v>19.7</v>
      </c>
      <c r="AI156" s="7">
        <v>0</v>
      </c>
      <c r="AJ156" s="7">
        <v>0</v>
      </c>
    </row>
    <row r="157" spans="32:36" x14ac:dyDescent="0.45">
      <c r="AF157" s="2" t="s">
        <v>21</v>
      </c>
      <c r="AG157" s="2" t="s">
        <v>15</v>
      </c>
      <c r="AH157" s="2">
        <v>8</v>
      </c>
      <c r="AI157" s="7">
        <v>0</v>
      </c>
      <c r="AJ157" s="7">
        <v>0</v>
      </c>
    </row>
    <row r="158" spans="32:36" x14ac:dyDescent="0.45">
      <c r="AF158" s="2" t="s">
        <v>21</v>
      </c>
      <c r="AG158" s="2" t="s">
        <v>16</v>
      </c>
      <c r="AH158" s="2">
        <v>8.9</v>
      </c>
      <c r="AI158" s="7">
        <v>0</v>
      </c>
      <c r="AJ158" s="7">
        <v>0</v>
      </c>
    </row>
    <row r="159" spans="32:36" x14ac:dyDescent="0.45">
      <c r="AF159" s="2" t="s">
        <v>21</v>
      </c>
      <c r="AG159" s="2" t="s">
        <v>17</v>
      </c>
      <c r="AH159" s="2">
        <v>15.6</v>
      </c>
      <c r="AI159" s="7">
        <v>0</v>
      </c>
      <c r="AJ159" s="7">
        <v>0</v>
      </c>
    </row>
    <row r="160" spans="32:36" x14ac:dyDescent="0.45">
      <c r="AF160" s="2" t="s">
        <v>21</v>
      </c>
      <c r="AG160" s="2" t="s">
        <v>18</v>
      </c>
      <c r="AH160" s="2">
        <v>12.9</v>
      </c>
      <c r="AI160" s="7">
        <v>0</v>
      </c>
      <c r="AJ160" s="7">
        <v>0</v>
      </c>
    </row>
    <row r="161" spans="32:36" x14ac:dyDescent="0.45">
      <c r="AF161" s="2" t="s">
        <v>21</v>
      </c>
      <c r="AG161" s="2" t="s">
        <v>19</v>
      </c>
      <c r="AH161" s="2">
        <v>13.2</v>
      </c>
      <c r="AI161" s="7">
        <v>0</v>
      </c>
      <c r="AJ161" s="7">
        <v>0</v>
      </c>
    </row>
    <row r="162" spans="32:36" x14ac:dyDescent="0.45">
      <c r="AF162" s="2" t="s">
        <v>21</v>
      </c>
      <c r="AG162" s="2" t="s">
        <v>20</v>
      </c>
      <c r="AH162" s="2">
        <v>6.7</v>
      </c>
      <c r="AI162" s="7">
        <v>0</v>
      </c>
      <c r="AJ162" s="7">
        <v>0</v>
      </c>
    </row>
    <row r="163" spans="32:36" x14ac:dyDescent="0.45">
      <c r="AF163" s="2" t="s">
        <v>21</v>
      </c>
      <c r="AG163" s="2" t="s">
        <v>22</v>
      </c>
      <c r="AH163" s="2">
        <v>15.6</v>
      </c>
      <c r="AI163" s="7">
        <v>0</v>
      </c>
      <c r="AJ163" s="7">
        <v>0</v>
      </c>
    </row>
    <row r="164" spans="32:36" x14ac:dyDescent="0.45">
      <c r="AF164" s="2" t="s">
        <v>21</v>
      </c>
      <c r="AG164" s="2" t="s">
        <v>23</v>
      </c>
      <c r="AH164" s="2">
        <v>12.6</v>
      </c>
      <c r="AI164" s="7">
        <v>0</v>
      </c>
      <c r="AJ164" s="7">
        <v>0</v>
      </c>
    </row>
    <row r="165" spans="32:36" x14ac:dyDescent="0.45">
      <c r="AF165" s="2" t="s">
        <v>21</v>
      </c>
      <c r="AG165" s="2" t="s">
        <v>24</v>
      </c>
      <c r="AH165" s="2">
        <v>13.8</v>
      </c>
      <c r="AI165" s="7">
        <v>0</v>
      </c>
      <c r="AJ165" s="7">
        <v>0</v>
      </c>
    </row>
    <row r="166" spans="32:36" x14ac:dyDescent="0.45">
      <c r="AF166" s="2" t="s">
        <v>21</v>
      </c>
      <c r="AG166" s="2" t="s">
        <v>25</v>
      </c>
      <c r="AH166" s="2">
        <v>15.7</v>
      </c>
      <c r="AI166" s="7">
        <v>0</v>
      </c>
      <c r="AJ166" s="7">
        <v>0</v>
      </c>
    </row>
    <row r="167" spans="32:36" x14ac:dyDescent="0.45">
      <c r="AF167" s="2" t="s">
        <v>21</v>
      </c>
      <c r="AG167" s="2" t="s">
        <v>26</v>
      </c>
      <c r="AH167" s="2">
        <v>20.9</v>
      </c>
      <c r="AI167" s="7">
        <v>0</v>
      </c>
      <c r="AJ167" s="7">
        <v>0</v>
      </c>
    </row>
    <row r="168" spans="32:36" x14ac:dyDescent="0.45">
      <c r="AF168" s="2" t="s">
        <v>22</v>
      </c>
      <c r="AG168" s="2" t="s">
        <v>3</v>
      </c>
      <c r="AH168" s="2">
        <v>84.5</v>
      </c>
      <c r="AI168" s="7">
        <v>0</v>
      </c>
      <c r="AJ168" s="7">
        <v>0</v>
      </c>
    </row>
    <row r="169" spans="32:36" x14ac:dyDescent="0.45">
      <c r="AF169" s="2" t="s">
        <v>22</v>
      </c>
      <c r="AG169" s="2" t="s">
        <v>12</v>
      </c>
      <c r="AH169" s="2">
        <v>46.1</v>
      </c>
      <c r="AI169" s="7">
        <v>0</v>
      </c>
      <c r="AJ169" s="7">
        <v>0</v>
      </c>
    </row>
    <row r="170" spans="32:36" x14ac:dyDescent="0.45">
      <c r="AF170" s="2" t="s">
        <v>22</v>
      </c>
      <c r="AG170" s="2" t="s">
        <v>13</v>
      </c>
      <c r="AH170" s="2">
        <v>30.8</v>
      </c>
      <c r="AI170" s="7">
        <v>0</v>
      </c>
      <c r="AJ170" s="7">
        <v>0</v>
      </c>
    </row>
    <row r="171" spans="32:36" x14ac:dyDescent="0.45">
      <c r="AF171" s="2" t="s">
        <v>22</v>
      </c>
      <c r="AG171" s="2" t="s">
        <v>14</v>
      </c>
      <c r="AH171" s="2">
        <v>29.7</v>
      </c>
      <c r="AI171" s="7">
        <v>0</v>
      </c>
      <c r="AJ171" s="7">
        <v>0</v>
      </c>
    </row>
    <row r="172" spans="32:36" x14ac:dyDescent="0.45">
      <c r="AF172" s="2" t="s">
        <v>22</v>
      </c>
      <c r="AG172" s="2" t="s">
        <v>15</v>
      </c>
      <c r="AH172" s="2">
        <v>18.8</v>
      </c>
      <c r="AI172" s="7">
        <v>0</v>
      </c>
      <c r="AJ172" s="7">
        <v>0</v>
      </c>
    </row>
    <row r="173" spans="32:36" x14ac:dyDescent="0.45">
      <c r="AF173" s="2" t="s">
        <v>22</v>
      </c>
      <c r="AG173" s="2" t="s">
        <v>16</v>
      </c>
      <c r="AH173" s="2">
        <v>24.5</v>
      </c>
      <c r="AI173" s="7">
        <v>0</v>
      </c>
      <c r="AJ173" s="7">
        <v>0</v>
      </c>
    </row>
    <row r="174" spans="32:36" x14ac:dyDescent="0.45">
      <c r="AF174" s="2" t="s">
        <v>22</v>
      </c>
      <c r="AG174" s="2" t="s">
        <v>17</v>
      </c>
      <c r="AH174" s="2">
        <v>31.2</v>
      </c>
      <c r="AI174" s="7">
        <v>0</v>
      </c>
      <c r="AJ174" s="7">
        <v>0</v>
      </c>
    </row>
    <row r="175" spans="32:36" x14ac:dyDescent="0.45">
      <c r="AF175" s="2" t="s">
        <v>22</v>
      </c>
      <c r="AG175" s="2" t="s">
        <v>18</v>
      </c>
      <c r="AH175" s="2">
        <v>28.6</v>
      </c>
      <c r="AI175" s="7">
        <v>0</v>
      </c>
      <c r="AJ175" s="7">
        <v>0</v>
      </c>
    </row>
    <row r="176" spans="32:36" x14ac:dyDescent="0.45">
      <c r="AF176" s="2" t="s">
        <v>22</v>
      </c>
      <c r="AG176" s="2" t="s">
        <v>19</v>
      </c>
      <c r="AH176" s="2">
        <v>28.9</v>
      </c>
      <c r="AI176" s="7">
        <v>0</v>
      </c>
      <c r="AJ176" s="7">
        <v>0</v>
      </c>
    </row>
    <row r="177" spans="32:36" x14ac:dyDescent="0.45">
      <c r="AF177" s="2" t="s">
        <v>22</v>
      </c>
      <c r="AG177" s="2" t="s">
        <v>20</v>
      </c>
      <c r="AH177" s="2">
        <v>22.4</v>
      </c>
      <c r="AI177" s="7">
        <v>0</v>
      </c>
      <c r="AJ177" s="7">
        <v>0</v>
      </c>
    </row>
    <row r="178" spans="32:36" x14ac:dyDescent="0.45">
      <c r="AF178" s="2" t="s">
        <v>22</v>
      </c>
      <c r="AG178" s="2" t="s">
        <v>21</v>
      </c>
      <c r="AH178" s="2">
        <v>15.7</v>
      </c>
      <c r="AI178" s="7">
        <v>1</v>
      </c>
      <c r="AJ178" s="7">
        <v>2600</v>
      </c>
    </row>
    <row r="179" spans="32:36" x14ac:dyDescent="0.45">
      <c r="AF179" s="2" t="s">
        <v>22</v>
      </c>
      <c r="AG179" s="2" t="s">
        <v>23</v>
      </c>
      <c r="AH179" s="2">
        <v>18.5</v>
      </c>
      <c r="AI179" s="7">
        <v>0</v>
      </c>
      <c r="AJ179" s="7">
        <v>0</v>
      </c>
    </row>
    <row r="180" spans="32:36" x14ac:dyDescent="0.45">
      <c r="AF180" s="2" t="s">
        <v>22</v>
      </c>
      <c r="AG180" s="2" t="s">
        <v>24</v>
      </c>
      <c r="AH180" s="2">
        <v>29.4</v>
      </c>
      <c r="AI180" s="7">
        <v>0</v>
      </c>
      <c r="AJ180" s="7">
        <v>0</v>
      </c>
    </row>
    <row r="181" spans="32:36" x14ac:dyDescent="0.45">
      <c r="AF181" s="2" t="s">
        <v>22</v>
      </c>
      <c r="AG181" s="2" t="s">
        <v>25</v>
      </c>
      <c r="AH181" s="2">
        <v>31.4</v>
      </c>
      <c r="AI181" s="7">
        <v>0</v>
      </c>
      <c r="AJ181" s="7">
        <v>0</v>
      </c>
    </row>
    <row r="182" spans="32:36" x14ac:dyDescent="0.45">
      <c r="AF182" s="2" t="s">
        <v>22</v>
      </c>
      <c r="AG182" s="2" t="s">
        <v>26</v>
      </c>
      <c r="AH182" s="2">
        <v>48.3</v>
      </c>
      <c r="AI182" s="7">
        <v>0</v>
      </c>
      <c r="AJ182" s="7">
        <v>0</v>
      </c>
    </row>
    <row r="183" spans="32:36" x14ac:dyDescent="0.45">
      <c r="AF183" s="2" t="s">
        <v>23</v>
      </c>
      <c r="AG183" s="2" t="s">
        <v>3</v>
      </c>
      <c r="AH183" s="2">
        <v>86.8</v>
      </c>
      <c r="AI183" s="7">
        <v>1</v>
      </c>
      <c r="AJ183" s="7">
        <v>0</v>
      </c>
    </row>
    <row r="184" spans="32:36" x14ac:dyDescent="0.45">
      <c r="AF184" s="2" t="s">
        <v>23</v>
      </c>
      <c r="AG184" s="2" t="s">
        <v>12</v>
      </c>
      <c r="AH184" s="2">
        <v>48.5</v>
      </c>
      <c r="AI184" s="7">
        <v>0</v>
      </c>
      <c r="AJ184" s="7">
        <v>0</v>
      </c>
    </row>
    <row r="185" spans="32:36" x14ac:dyDescent="0.45">
      <c r="AF185" s="2" t="s">
        <v>23</v>
      </c>
      <c r="AG185" s="2" t="s">
        <v>13</v>
      </c>
      <c r="AH185" s="2">
        <v>27.1</v>
      </c>
      <c r="AI185" s="7">
        <v>0</v>
      </c>
      <c r="AJ185" s="7">
        <v>0</v>
      </c>
    </row>
    <row r="186" spans="32:36" x14ac:dyDescent="0.45">
      <c r="AF186" s="2" t="s">
        <v>23</v>
      </c>
      <c r="AG186" s="2" t="s">
        <v>14</v>
      </c>
      <c r="AH186" s="2">
        <v>20.8</v>
      </c>
      <c r="AI186" s="7">
        <v>0</v>
      </c>
      <c r="AJ186" s="7">
        <v>0</v>
      </c>
    </row>
    <row r="187" spans="32:36" x14ac:dyDescent="0.45">
      <c r="AF187" s="2" t="s">
        <v>23</v>
      </c>
      <c r="AG187" s="2" t="s">
        <v>15</v>
      </c>
      <c r="AH187" s="2">
        <v>14.9</v>
      </c>
      <c r="AI187" s="7">
        <v>0</v>
      </c>
      <c r="AJ187" s="7">
        <v>0</v>
      </c>
    </row>
    <row r="188" spans="32:36" x14ac:dyDescent="0.45">
      <c r="AF188" s="2" t="s">
        <v>23</v>
      </c>
      <c r="AG188" s="2" t="s">
        <v>16</v>
      </c>
      <c r="AH188" s="2">
        <v>20.9</v>
      </c>
      <c r="AI188" s="7">
        <v>0</v>
      </c>
      <c r="AJ188" s="7">
        <v>0</v>
      </c>
    </row>
    <row r="189" spans="32:36" x14ac:dyDescent="0.45">
      <c r="AF189" s="2" t="s">
        <v>23</v>
      </c>
      <c r="AG189" s="2" t="s">
        <v>17</v>
      </c>
      <c r="AH189" s="2">
        <v>25.3</v>
      </c>
      <c r="AI189" s="7">
        <v>0</v>
      </c>
      <c r="AJ189" s="7">
        <v>0</v>
      </c>
    </row>
    <row r="190" spans="32:36" x14ac:dyDescent="0.45">
      <c r="AF190" s="2" t="s">
        <v>23</v>
      </c>
      <c r="AG190" s="2" t="s">
        <v>18</v>
      </c>
      <c r="AH190" s="2">
        <v>22.6</v>
      </c>
      <c r="AI190" s="7">
        <v>0</v>
      </c>
      <c r="AJ190" s="7">
        <v>0</v>
      </c>
    </row>
    <row r="191" spans="32:36" x14ac:dyDescent="0.45">
      <c r="AF191" s="2" t="s">
        <v>23</v>
      </c>
      <c r="AG191" s="2" t="s">
        <v>19</v>
      </c>
      <c r="AH191" s="2">
        <v>25.2</v>
      </c>
      <c r="AI191" s="7">
        <v>0</v>
      </c>
      <c r="AJ191" s="7">
        <v>0</v>
      </c>
    </row>
    <row r="192" spans="32:36" x14ac:dyDescent="0.45">
      <c r="AF192" s="2" t="s">
        <v>23</v>
      </c>
      <c r="AG192" s="2" t="s">
        <v>20</v>
      </c>
      <c r="AH192" s="2">
        <v>18.7</v>
      </c>
      <c r="AI192" s="7">
        <v>0</v>
      </c>
      <c r="AJ192" s="7">
        <v>0</v>
      </c>
    </row>
    <row r="193" spans="32:36" x14ac:dyDescent="0.45">
      <c r="AF193" s="2" t="s">
        <v>23</v>
      </c>
      <c r="AG193" s="2" t="s">
        <v>21</v>
      </c>
      <c r="AH193" s="2">
        <v>12</v>
      </c>
      <c r="AI193" s="7">
        <v>0</v>
      </c>
      <c r="AJ193" s="7">
        <v>0</v>
      </c>
    </row>
    <row r="194" spans="32:36" x14ac:dyDescent="0.45">
      <c r="AF194" s="2" t="s">
        <v>23</v>
      </c>
      <c r="AG194" s="2" t="s">
        <v>22</v>
      </c>
      <c r="AH194" s="2">
        <v>16.8</v>
      </c>
      <c r="AI194" s="7">
        <v>0</v>
      </c>
      <c r="AJ194" s="7">
        <v>0</v>
      </c>
    </row>
    <row r="195" spans="32:36" x14ac:dyDescent="0.45">
      <c r="AF195" s="2" t="s">
        <v>23</v>
      </c>
      <c r="AG195" s="2" t="s">
        <v>24</v>
      </c>
      <c r="AH195" s="2">
        <v>14.5</v>
      </c>
      <c r="AI195" s="7">
        <v>0</v>
      </c>
      <c r="AJ195" s="7">
        <v>0</v>
      </c>
    </row>
    <row r="196" spans="32:36" x14ac:dyDescent="0.45">
      <c r="AF196" s="2" t="s">
        <v>23</v>
      </c>
      <c r="AG196" s="2" t="s">
        <v>25</v>
      </c>
      <c r="AH196" s="2">
        <v>19.5</v>
      </c>
      <c r="AI196" s="7">
        <v>0</v>
      </c>
      <c r="AJ196" s="7">
        <v>0</v>
      </c>
    </row>
    <row r="197" spans="32:36" x14ac:dyDescent="0.45">
      <c r="AF197" s="2" t="s">
        <v>23</v>
      </c>
      <c r="AG197" s="2" t="s">
        <v>26</v>
      </c>
      <c r="AH197" s="2">
        <v>40.299999999999997</v>
      </c>
      <c r="AI197" s="7">
        <v>0</v>
      </c>
      <c r="AJ197" s="7">
        <v>0</v>
      </c>
    </row>
    <row r="198" spans="32:36" x14ac:dyDescent="0.45">
      <c r="AF198" s="2" t="s">
        <v>24</v>
      </c>
      <c r="AG198" s="2" t="s">
        <v>3</v>
      </c>
      <c r="AH198" s="2">
        <v>108</v>
      </c>
      <c r="AI198" s="7">
        <v>1</v>
      </c>
      <c r="AJ198" s="7">
        <v>0</v>
      </c>
    </row>
    <row r="199" spans="32:36" x14ac:dyDescent="0.45">
      <c r="AF199" s="2" t="s">
        <v>24</v>
      </c>
      <c r="AG199" s="2" t="s">
        <v>12</v>
      </c>
      <c r="AH199" s="2">
        <v>69.3</v>
      </c>
      <c r="AI199" s="7">
        <v>0</v>
      </c>
      <c r="AJ199" s="7">
        <v>0</v>
      </c>
    </row>
    <row r="200" spans="32:36" x14ac:dyDescent="0.45">
      <c r="AF200" s="2" t="s">
        <v>24</v>
      </c>
      <c r="AG200" s="2" t="s">
        <v>13</v>
      </c>
      <c r="AH200" s="2">
        <v>24.7</v>
      </c>
      <c r="AI200" s="7">
        <v>0</v>
      </c>
      <c r="AJ200" s="7">
        <v>0</v>
      </c>
    </row>
    <row r="201" spans="32:36" x14ac:dyDescent="0.45">
      <c r="AF201" s="2" t="s">
        <v>24</v>
      </c>
      <c r="AG201" s="2" t="s">
        <v>14</v>
      </c>
      <c r="AH201" s="2">
        <v>31.9</v>
      </c>
      <c r="AI201" s="7">
        <v>0</v>
      </c>
      <c r="AJ201" s="7">
        <v>0</v>
      </c>
    </row>
    <row r="202" spans="32:36" x14ac:dyDescent="0.45">
      <c r="AF202" s="2" t="s">
        <v>24</v>
      </c>
      <c r="AG202" s="2" t="s">
        <v>15</v>
      </c>
      <c r="AH202" s="2">
        <v>19.5</v>
      </c>
      <c r="AI202" s="7">
        <v>0</v>
      </c>
      <c r="AJ202" s="7">
        <v>0</v>
      </c>
    </row>
    <row r="203" spans="32:36" x14ac:dyDescent="0.45">
      <c r="AF203" s="2" t="s">
        <v>24</v>
      </c>
      <c r="AG203" s="2" t="s">
        <v>16</v>
      </c>
      <c r="AH203" s="2">
        <v>18.399999999999999</v>
      </c>
      <c r="AI203" s="7">
        <v>0</v>
      </c>
      <c r="AJ203" s="7">
        <v>0</v>
      </c>
    </row>
    <row r="204" spans="32:36" x14ac:dyDescent="0.45">
      <c r="AF204" s="2" t="s">
        <v>24</v>
      </c>
      <c r="AG204" s="2" t="s">
        <v>17</v>
      </c>
      <c r="AH204" s="2">
        <v>20.399999999999999</v>
      </c>
      <c r="AI204" s="7">
        <v>0</v>
      </c>
      <c r="AJ204" s="7">
        <v>0</v>
      </c>
    </row>
    <row r="205" spans="32:36" x14ac:dyDescent="0.45">
      <c r="AF205" s="2" t="s">
        <v>24</v>
      </c>
      <c r="AG205" s="2" t="s">
        <v>18</v>
      </c>
      <c r="AH205" s="2">
        <v>15</v>
      </c>
      <c r="AI205" s="7">
        <v>0</v>
      </c>
      <c r="AJ205" s="7">
        <v>0</v>
      </c>
    </row>
    <row r="206" spans="32:36" x14ac:dyDescent="0.45">
      <c r="AF206" s="2" t="s">
        <v>24</v>
      </c>
      <c r="AG206" s="2" t="s">
        <v>19</v>
      </c>
      <c r="AH206" s="2">
        <v>17.399999999999999</v>
      </c>
      <c r="AI206" s="7">
        <v>0</v>
      </c>
      <c r="AJ206" s="7">
        <v>0</v>
      </c>
    </row>
    <row r="207" spans="32:36" x14ac:dyDescent="0.45">
      <c r="AF207" s="2" t="s">
        <v>24</v>
      </c>
      <c r="AG207" s="2" t="s">
        <v>20</v>
      </c>
      <c r="AH207" s="2">
        <v>13.7</v>
      </c>
      <c r="AI207" s="7">
        <v>0</v>
      </c>
      <c r="AJ207" s="7">
        <v>0</v>
      </c>
    </row>
    <row r="208" spans="32:36" x14ac:dyDescent="0.45">
      <c r="AF208" s="2" t="s">
        <v>24</v>
      </c>
      <c r="AG208" s="2" t="s">
        <v>21</v>
      </c>
      <c r="AH208" s="2">
        <v>14.5</v>
      </c>
      <c r="AI208" s="7">
        <v>0</v>
      </c>
      <c r="AJ208" s="7">
        <v>0</v>
      </c>
    </row>
    <row r="209" spans="32:36" x14ac:dyDescent="0.45">
      <c r="AF209" s="2" t="s">
        <v>24</v>
      </c>
      <c r="AG209" s="2" t="s">
        <v>22</v>
      </c>
      <c r="AH209" s="2">
        <v>27.8</v>
      </c>
      <c r="AI209" s="7">
        <v>0</v>
      </c>
      <c r="AJ209" s="7">
        <v>0</v>
      </c>
    </row>
    <row r="210" spans="32:36" x14ac:dyDescent="0.45">
      <c r="AF210" s="2" t="s">
        <v>24</v>
      </c>
      <c r="AG210" s="2" t="s">
        <v>23</v>
      </c>
      <c r="AH210" s="2">
        <v>12.9</v>
      </c>
      <c r="AI210" s="7">
        <v>0</v>
      </c>
      <c r="AJ210" s="7">
        <v>0</v>
      </c>
    </row>
    <row r="211" spans="32:36" x14ac:dyDescent="0.45">
      <c r="AF211" s="2" t="s">
        <v>24</v>
      </c>
      <c r="AG211" s="2" t="s">
        <v>25</v>
      </c>
      <c r="AH211" s="2">
        <v>9.5</v>
      </c>
      <c r="AI211" s="7">
        <v>0</v>
      </c>
      <c r="AJ211" s="7">
        <v>0</v>
      </c>
    </row>
    <row r="212" spans="32:36" x14ac:dyDescent="0.45">
      <c r="AF212" s="2" t="s">
        <v>24</v>
      </c>
      <c r="AG212" s="2" t="s">
        <v>26</v>
      </c>
      <c r="AH212" s="2">
        <v>18.2</v>
      </c>
      <c r="AI212" s="7">
        <v>0</v>
      </c>
      <c r="AJ212" s="7">
        <v>0</v>
      </c>
    </row>
    <row r="213" spans="32:36" x14ac:dyDescent="0.45">
      <c r="AF213" s="2" t="s">
        <v>25</v>
      </c>
      <c r="AG213" s="2" t="s">
        <v>3</v>
      </c>
      <c r="AH213" s="2">
        <v>97.2</v>
      </c>
      <c r="AI213" s="7">
        <v>0</v>
      </c>
      <c r="AJ213" s="7">
        <v>0</v>
      </c>
    </row>
    <row r="214" spans="32:36" x14ac:dyDescent="0.45">
      <c r="AF214" s="2" t="s">
        <v>25</v>
      </c>
      <c r="AG214" s="2" t="s">
        <v>12</v>
      </c>
      <c r="AH214" s="2">
        <v>58.8</v>
      </c>
      <c r="AI214" s="7">
        <v>0</v>
      </c>
      <c r="AJ214" s="7">
        <v>0</v>
      </c>
    </row>
    <row r="215" spans="32:36" x14ac:dyDescent="0.45">
      <c r="AF215" s="2" t="s">
        <v>25</v>
      </c>
      <c r="AG215" s="2" t="s">
        <v>13</v>
      </c>
      <c r="AH215" s="2">
        <v>21.4</v>
      </c>
      <c r="AI215" s="7">
        <v>0</v>
      </c>
      <c r="AJ215" s="7">
        <v>0</v>
      </c>
    </row>
    <row r="216" spans="32:36" x14ac:dyDescent="0.45">
      <c r="AF216" s="2" t="s">
        <v>25</v>
      </c>
      <c r="AG216" s="2" t="s">
        <v>14</v>
      </c>
      <c r="AH216" s="2">
        <v>34.6</v>
      </c>
      <c r="AI216" s="7">
        <v>0</v>
      </c>
      <c r="AJ216" s="7">
        <v>0</v>
      </c>
    </row>
    <row r="217" spans="32:36" x14ac:dyDescent="0.45">
      <c r="AF217" s="2" t="s">
        <v>25</v>
      </c>
      <c r="AG217" s="2" t="s">
        <v>15</v>
      </c>
      <c r="AH217" s="2">
        <v>22.9</v>
      </c>
      <c r="AI217" s="7">
        <v>1</v>
      </c>
      <c r="AJ217" s="7">
        <v>1500</v>
      </c>
    </row>
    <row r="218" spans="32:36" x14ac:dyDescent="0.45">
      <c r="AF218" s="2" t="s">
        <v>25</v>
      </c>
      <c r="AG218" s="2" t="s">
        <v>16</v>
      </c>
      <c r="AH218" s="2">
        <v>14.5</v>
      </c>
      <c r="AI218" s="7">
        <v>0</v>
      </c>
      <c r="AJ218" s="7">
        <v>0</v>
      </c>
    </row>
    <row r="219" spans="32:36" x14ac:dyDescent="0.45">
      <c r="AF219" s="2" t="s">
        <v>25</v>
      </c>
      <c r="AG219" s="2" t="s">
        <v>17</v>
      </c>
      <c r="AH219" s="2">
        <v>14.5</v>
      </c>
      <c r="AI219" s="7">
        <v>0</v>
      </c>
      <c r="AJ219" s="7">
        <v>0</v>
      </c>
    </row>
    <row r="220" spans="32:36" x14ac:dyDescent="0.45">
      <c r="AF220" s="2" t="s">
        <v>25</v>
      </c>
      <c r="AG220" s="2" t="s">
        <v>18</v>
      </c>
      <c r="AH220" s="2">
        <v>9</v>
      </c>
      <c r="AI220" s="7">
        <v>0</v>
      </c>
      <c r="AJ220" s="7">
        <v>0</v>
      </c>
    </row>
    <row r="221" spans="32:36" x14ac:dyDescent="0.45">
      <c r="AF221" s="2" t="s">
        <v>25</v>
      </c>
      <c r="AG221" s="2" t="s">
        <v>19</v>
      </c>
      <c r="AH221" s="2">
        <v>10.1</v>
      </c>
      <c r="AI221" s="7">
        <v>0</v>
      </c>
      <c r="AJ221" s="7">
        <v>0</v>
      </c>
    </row>
    <row r="222" spans="32:36" x14ac:dyDescent="0.45">
      <c r="AF222" s="2" t="s">
        <v>25</v>
      </c>
      <c r="AG222" s="2" t="s">
        <v>20</v>
      </c>
      <c r="AH222" s="2">
        <v>15.6</v>
      </c>
      <c r="AI222" s="7">
        <v>0</v>
      </c>
      <c r="AJ222" s="7">
        <v>0</v>
      </c>
    </row>
    <row r="223" spans="32:36" x14ac:dyDescent="0.45">
      <c r="AF223" s="2" t="s">
        <v>25</v>
      </c>
      <c r="AG223" s="2" t="s">
        <v>21</v>
      </c>
      <c r="AH223" s="2">
        <v>16.899999999999999</v>
      </c>
      <c r="AI223" s="7">
        <v>0</v>
      </c>
      <c r="AJ223" s="7">
        <v>0</v>
      </c>
    </row>
    <row r="224" spans="32:36" x14ac:dyDescent="0.45">
      <c r="AF224" s="2" t="s">
        <v>25</v>
      </c>
      <c r="AG224" s="2" t="s">
        <v>22</v>
      </c>
      <c r="AH224" s="2">
        <v>30.4</v>
      </c>
      <c r="AI224" s="7">
        <v>0</v>
      </c>
      <c r="AJ224" s="7">
        <v>0</v>
      </c>
    </row>
    <row r="225" spans="32:36" x14ac:dyDescent="0.45">
      <c r="AF225" s="2" t="s">
        <v>25</v>
      </c>
      <c r="AG225" s="2" t="s">
        <v>23</v>
      </c>
      <c r="AH225" s="2">
        <v>18.2</v>
      </c>
      <c r="AI225" s="7">
        <v>0</v>
      </c>
      <c r="AJ225" s="7">
        <v>0</v>
      </c>
    </row>
    <row r="226" spans="32:36" x14ac:dyDescent="0.45">
      <c r="AF226" s="2" t="s">
        <v>25</v>
      </c>
      <c r="AG226" s="2" t="s">
        <v>24</v>
      </c>
      <c r="AH226" s="2">
        <v>8.6</v>
      </c>
      <c r="AI226" s="7">
        <v>0</v>
      </c>
      <c r="AJ226" s="7">
        <v>0</v>
      </c>
    </row>
    <row r="227" spans="32:36" x14ac:dyDescent="0.45">
      <c r="AF227" s="2" t="s">
        <v>25</v>
      </c>
      <c r="AG227" s="2" t="s">
        <v>26</v>
      </c>
      <c r="AH227" s="2">
        <v>5.5</v>
      </c>
      <c r="AI227" s="7">
        <v>0</v>
      </c>
      <c r="AJ227" s="7">
        <v>0</v>
      </c>
    </row>
    <row r="228" spans="32:36" x14ac:dyDescent="0.45">
      <c r="AF228" s="2" t="s">
        <v>26</v>
      </c>
      <c r="AG228" s="2" t="s">
        <v>3</v>
      </c>
      <c r="AH228" s="2">
        <v>96.3</v>
      </c>
      <c r="AI228" s="7">
        <v>1</v>
      </c>
      <c r="AJ228" s="7">
        <v>0</v>
      </c>
    </row>
    <row r="229" spans="32:36" x14ac:dyDescent="0.45">
      <c r="AF229" s="2" t="s">
        <v>26</v>
      </c>
      <c r="AG229" s="2" t="s">
        <v>12</v>
      </c>
      <c r="AH229" s="2">
        <v>57.9</v>
      </c>
      <c r="AI229" s="7">
        <v>0</v>
      </c>
      <c r="AJ229" s="7">
        <v>0</v>
      </c>
    </row>
    <row r="230" spans="32:36" x14ac:dyDescent="0.45">
      <c r="AF230" s="2" t="s">
        <v>26</v>
      </c>
      <c r="AG230" s="2" t="s">
        <v>13</v>
      </c>
      <c r="AH230" s="2">
        <v>26.2</v>
      </c>
      <c r="AI230" s="7">
        <v>0</v>
      </c>
      <c r="AJ230" s="7">
        <v>0</v>
      </c>
    </row>
    <row r="231" spans="32:36" x14ac:dyDescent="0.45">
      <c r="AF231" s="2" t="s">
        <v>26</v>
      </c>
      <c r="AG231" s="2" t="s">
        <v>14</v>
      </c>
      <c r="AH231" s="2">
        <v>59.2</v>
      </c>
      <c r="AI231" s="7">
        <v>0</v>
      </c>
      <c r="AJ231" s="7">
        <v>0</v>
      </c>
    </row>
    <row r="232" spans="32:36" x14ac:dyDescent="0.45">
      <c r="AF232" s="2" t="s">
        <v>26</v>
      </c>
      <c r="AG232" s="2" t="s">
        <v>15</v>
      </c>
      <c r="AH232" s="2">
        <v>27.8</v>
      </c>
      <c r="AI232" s="7">
        <v>0</v>
      </c>
      <c r="AJ232" s="7">
        <v>0</v>
      </c>
    </row>
    <row r="233" spans="32:36" x14ac:dyDescent="0.45">
      <c r="AF233" s="2" t="s">
        <v>26</v>
      </c>
      <c r="AG233" s="2" t="s">
        <v>16</v>
      </c>
      <c r="AH233" s="2">
        <v>19.399999999999999</v>
      </c>
      <c r="AI233" s="7">
        <v>0</v>
      </c>
      <c r="AJ233" s="7">
        <v>0</v>
      </c>
    </row>
    <row r="234" spans="32:36" x14ac:dyDescent="0.45">
      <c r="AF234" s="2" t="s">
        <v>26</v>
      </c>
      <c r="AG234" s="2" t="s">
        <v>17</v>
      </c>
      <c r="AH234" s="2">
        <v>21.8</v>
      </c>
      <c r="AI234" s="7">
        <v>0</v>
      </c>
      <c r="AJ234" s="7">
        <v>0</v>
      </c>
    </row>
    <row r="235" spans="32:36" x14ac:dyDescent="0.45">
      <c r="AF235" s="2" t="s">
        <v>26</v>
      </c>
      <c r="AG235" s="2" t="s">
        <v>18</v>
      </c>
      <c r="AH235" s="2">
        <v>15.1</v>
      </c>
      <c r="AI235" s="7">
        <v>0</v>
      </c>
      <c r="AJ235" s="7">
        <v>0</v>
      </c>
    </row>
    <row r="236" spans="32:36" x14ac:dyDescent="0.45">
      <c r="AF236" s="2" t="s">
        <v>26</v>
      </c>
      <c r="AG236" s="2" t="s">
        <v>19</v>
      </c>
      <c r="AH236" s="2">
        <v>15.1</v>
      </c>
      <c r="AI236" s="7">
        <v>0</v>
      </c>
      <c r="AJ236" s="7">
        <v>0</v>
      </c>
    </row>
    <row r="237" spans="32:36" x14ac:dyDescent="0.45">
      <c r="AF237" s="2" t="s">
        <v>26</v>
      </c>
      <c r="AG237" s="2" t="s">
        <v>20</v>
      </c>
      <c r="AH237" s="2">
        <v>20.5</v>
      </c>
      <c r="AI237" s="7">
        <v>0</v>
      </c>
      <c r="AJ237" s="7">
        <v>0</v>
      </c>
    </row>
    <row r="238" spans="32:36" x14ac:dyDescent="0.45">
      <c r="AF238" s="2" t="s">
        <v>26</v>
      </c>
      <c r="AG238" s="2" t="s">
        <v>21</v>
      </c>
      <c r="AH238" s="2">
        <v>21.8</v>
      </c>
      <c r="AI238" s="7">
        <v>0</v>
      </c>
      <c r="AJ238" s="7">
        <v>0</v>
      </c>
    </row>
    <row r="239" spans="32:36" x14ac:dyDescent="0.45">
      <c r="AF239" s="2" t="s">
        <v>26</v>
      </c>
      <c r="AG239" s="2" t="s">
        <v>22</v>
      </c>
      <c r="AH239" s="2">
        <v>46.2</v>
      </c>
      <c r="AI239" s="7">
        <v>0</v>
      </c>
      <c r="AJ239" s="7">
        <v>0</v>
      </c>
    </row>
    <row r="240" spans="32:36" x14ac:dyDescent="0.45">
      <c r="AF240" s="2" t="s">
        <v>26</v>
      </c>
      <c r="AG240" s="2" t="s">
        <v>23</v>
      </c>
      <c r="AH240" s="2">
        <v>35.5</v>
      </c>
      <c r="AI240" s="7">
        <v>0</v>
      </c>
      <c r="AJ240" s="7">
        <v>0</v>
      </c>
    </row>
    <row r="241" spans="32:36" x14ac:dyDescent="0.45">
      <c r="AF241" s="2" t="s">
        <v>26</v>
      </c>
      <c r="AG241" s="2" t="s">
        <v>24</v>
      </c>
      <c r="AH241" s="2">
        <v>12.8</v>
      </c>
      <c r="AI241" s="7">
        <v>0</v>
      </c>
      <c r="AJ241" s="7">
        <v>0</v>
      </c>
    </row>
    <row r="242" spans="32:36" x14ac:dyDescent="0.45">
      <c r="AF242" s="2" t="s">
        <v>26</v>
      </c>
      <c r="AG242" s="2" t="s">
        <v>25</v>
      </c>
      <c r="AH242" s="2">
        <v>7.8</v>
      </c>
      <c r="AI242" s="7">
        <v>0</v>
      </c>
      <c r="AJ242" s="7">
        <v>0</v>
      </c>
    </row>
  </sheetData>
  <mergeCells count="1">
    <mergeCell ref="N17:O2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oredFilesList xmlns:xsd="http://www.w3.org/2001/XMLSchema" xmlns:xsi="http://www.w3.org/2001/XMLSchema-instance" xmlns="http://opensolver.org" xml:space="preserve" Version="01.00">
  <StoredFiles>
    <StoredFile>
      <FileName>Untitled</FileName>
      <LanguageName>GurobiPython</LanguageName>
      <ModelPaneVisible>false</ModelPaneVisible>
      <ModelSettings/>
      <FileText>from gurobipy import*
from SolverStudio import*
m = Model()
x = {}
for i,j in arcs:
   x[i,j] =m.addVar(vtype="b")
y = {}
for i,j in arcs:
   y[i,j] =m.addVar(vtype="c")
m.update()
m.setObjective(quicksum(lamda*(friction_factor*engine_speed*displacement*
(d[i,j]/speed)*x[i,j]
+ ye*beta*d[i,j]*speed*speed*x[i,j]
+ ye*alfa*(curb_weight*x[i,j]+y[i,j])*d[i,j]) 
for i,j in arcs),GRB.MINIMIZE)
for a in customers:
   m.addConstr(quicksum(y[i,j] for i,j in arcs if i==a)==quicksum(y[i,j] for i,j in arcs if j==a)-demand[a])
for i,j in arcs:
   m.addConstr(y[i,j]&lt;=vehicle_capacity*x[i,j])
for a in depot:
   m.addConstr(quicksum(y[i,j] for i,j in arcs if j==a)&lt;=0)
for n in nodes:
   if n!="D":
      m.addConstr(quicksum(x[i,j] for i,j in arcs if j==n)==1)
for n in nodes:
   if n!="D":
      m.addConstr(quicksum(x[i,j] for i,j in arcs if i==n)==1)
m.addConstr (sum(x["D",j] for j in customers)&lt;=vehicle_number)
m.optimize()
if m.status==GRB.OPTIMAL:
   for i,j in arcs:
      X[i,j] = x[i,j].x
   for i,j in arcs:
      Y[i,j] = y[i,j].x
   fuel_consumption = m.objVal
else:
     "No Solution"</FileText>
      <ParentWorksheetName>CMEM-Basic_Light</ParentWorksheetName>
    </StoredFile>
    <StoredFile>
      <FileName>Untitled</FileName>
      <LanguageName>GurobiPython</LanguageName>
      <ModelPaneVisible>false</ModelPaneVisible>
      <ModelSettings/>
      <FileText>from gurobipy import*
from SolverStudio import*
m = Model()
x = {}
for i,j in arcs:
   x[i,j] =m.addVar(vtype="b")
y = {}
for i,j in arcs:
   y[i,j] =m.addVar(vtype="c")
m.update()
m.setObjective(quicksum(emission*d[i,j]*x[i,j] for i,j in arcs),GRB.MINIMIZE)
for a in customers:
   m.addConstr(quicksum(y[i,j] for i,j in arcs if i==a)==quicksum(y[i,j] for i,j in arcs if j==a)-demand[a])
for i,j in arcs:
   m.addConstr(y[i,j]&lt;=vehicle_capacity*x[i,j])
for a in depot:
   m.addConstr(quicksum(y[i,j] for i,j in arcs if j==a)&lt;=0)
for n in nodes:
   if n!="D":
      m.addConstr(quicksum(x[i,j] for i,j in arcs if j==n)==1)
for n in nodes:
   if n!="D":
      m.addConstr(quicksum(x[i,j] for i,j in arcs if i==n)==1)
m.addConstr (sum(x["D",j] for j in customers)&lt;=vehicle_number)
m.optimize()
if m.status==GRB.OPTIMAL:
   for i,j in arcs:
      X[i,j] = x[i,j].x
   for i,j in arcs:
      Y[i,j] = y[i,j].x
   total_emission = m.objVal
else:
     "No Solution"</FileText>
      <ParentWorksheetName>MEET-Basic_Light</ParentWorksheetName>
    </StoredFile>
  </StoredFiles>
</StoredFilesList>
</file>

<file path=customXml/itemProps1.xml><?xml version="1.0" encoding="utf-8"?>
<ds:datastoreItem xmlns:ds="http://schemas.openxmlformats.org/officeDocument/2006/customXml" ds:itemID="{C166E139-C2F6-4F2F-AB14-1CF18E36878A}">
  <ds:schemaRefs>
    <ds:schemaRef ds:uri="http://www.w3.org/2001/XMLSchema"/>
    <ds:schemaRef ds:uri="http://opensolver.org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42</vt:i4>
      </vt:variant>
    </vt:vector>
  </HeadingPairs>
  <TitlesOfParts>
    <vt:vector size="44" baseType="lpstr">
      <vt:lpstr>CMEM-Basic_Light</vt:lpstr>
      <vt:lpstr>MEET-Basic_Light</vt:lpstr>
      <vt:lpstr>'CMEM-Basic_Light'!air_density</vt:lpstr>
      <vt:lpstr>'CMEM-Basic_Light'!alfa</vt:lpstr>
      <vt:lpstr>'CMEM-Basic_Light'!arcs</vt:lpstr>
      <vt:lpstr>'MEET-Basic_Light'!arcs</vt:lpstr>
      <vt:lpstr>'CMEM-Basic_Light'!area</vt:lpstr>
      <vt:lpstr>'CMEM-Basic_Light'!beta</vt:lpstr>
      <vt:lpstr>'CMEM-Basic_Light'!constant</vt:lpstr>
      <vt:lpstr>'CMEM-Basic_Light'!conversion_factor</vt:lpstr>
      <vt:lpstr>'CMEM-Basic_Light'!curb_weight</vt:lpstr>
      <vt:lpstr>'CMEM-Basic_Light'!customers</vt:lpstr>
      <vt:lpstr>'MEET-Basic_Light'!customers</vt:lpstr>
      <vt:lpstr>'CMEM-Basic_Light'!d</vt:lpstr>
      <vt:lpstr>'MEET-Basic_Light'!d</vt:lpstr>
      <vt:lpstr>'CMEM-Basic_Light'!demand</vt:lpstr>
      <vt:lpstr>'MEET-Basic_Light'!demand</vt:lpstr>
      <vt:lpstr>'CMEM-Basic_Light'!depot</vt:lpstr>
      <vt:lpstr>'MEET-Basic_Light'!depot</vt:lpstr>
      <vt:lpstr>'CMEM-Basic_Light'!displacement</vt:lpstr>
      <vt:lpstr>'CMEM-Basic_Light'!drag</vt:lpstr>
      <vt:lpstr>'CMEM-Basic_Light'!efficiency_parameter</vt:lpstr>
      <vt:lpstr>'MEET-Basic_Light'!emission</vt:lpstr>
      <vt:lpstr>'CMEM-Basic_Light'!engine_speed</vt:lpstr>
      <vt:lpstr>'CMEM-Basic_Light'!friction_factor</vt:lpstr>
      <vt:lpstr>'CMEM-Basic_Light'!fuel_consumption</vt:lpstr>
      <vt:lpstr>'CMEM-Basic_Light'!heating_value</vt:lpstr>
      <vt:lpstr>'CMEM-Basic_Light'!lamda</vt:lpstr>
      <vt:lpstr>'CMEM-Basic_Light'!mass_ratio</vt:lpstr>
      <vt:lpstr>'CMEM-Basic_Light'!nodes</vt:lpstr>
      <vt:lpstr>'MEET-Basic_Light'!nodes</vt:lpstr>
      <vt:lpstr>'CMEM-Basic_Light'!resistance</vt:lpstr>
      <vt:lpstr>'CMEM-Basic_Light'!speed</vt:lpstr>
      <vt:lpstr>'MEET-Basic_Light'!total_emission</vt:lpstr>
      <vt:lpstr>'CMEM-Basic_Light'!train_efficiency</vt:lpstr>
      <vt:lpstr>'CMEM-Basic_Light'!vehicle_capacity</vt:lpstr>
      <vt:lpstr>'MEET-Basic_Light'!vehicle_capacity</vt:lpstr>
      <vt:lpstr>'CMEM-Basic_Light'!vehicle_number</vt:lpstr>
      <vt:lpstr>'MEET-Basic_Light'!vehicle_number</vt:lpstr>
      <vt:lpstr>'CMEM-Basic_Light'!X</vt:lpstr>
      <vt:lpstr>'MEET-Basic_Light'!X</vt:lpstr>
      <vt:lpstr>'CMEM-Basic_Light'!Y</vt:lpstr>
      <vt:lpstr>'MEET-Basic_Light'!Y</vt:lpstr>
      <vt:lpstr>'CMEM-Basic_Light'!ye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2026-09-21T13:16:22Z</dcterms:modified>
</cp:coreProperties>
</file>